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RONALDO\Dropbox\Planeta Assessoria Adm\Planilhas\"/>
    </mc:Choice>
  </mc:AlternateContent>
  <xr:revisionPtr revIDLastSave="0" documentId="13_ncr:1_{9F9B0BD7-1B4E-44EC-ACDC-7838CB719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 Geral" sheetId="1" r:id="rId1"/>
    <sheet name="Morto" sheetId="2" r:id="rId2"/>
  </sheets>
  <definedNames>
    <definedName name="_Hlk63410235" localSheetId="0">'Planilha Geral'!$E$31</definedName>
    <definedName name="DSM">'Planilha Geral'!#REF!</definedName>
    <definedName name="Zero">'Planilha Geral'!#REF!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6" roundtripDataChecksum="O5Kwc1TjVE+X+KGSTkKg3OkdfRJQ1QfZ8LW4n22LjXk="/>
    </ext>
  </extLst>
</workbook>
</file>

<file path=xl/calcChain.xml><?xml version="1.0" encoding="utf-8"?>
<calcChain xmlns="http://schemas.openxmlformats.org/spreadsheetml/2006/main">
  <c r="O443" i="1" l="1"/>
  <c r="O445" i="1"/>
  <c r="N464" i="1"/>
  <c r="O464" i="1"/>
  <c r="O631" i="1"/>
  <c r="N370" i="1"/>
  <c r="O370" i="1"/>
  <c r="N369" i="1"/>
  <c r="O369" i="1"/>
  <c r="N467" i="1"/>
  <c r="O221" i="1"/>
  <c r="N290" i="1"/>
  <c r="O290" i="1"/>
  <c r="O444" i="1"/>
  <c r="O58" i="1"/>
  <c r="N58" i="1"/>
  <c r="N57" i="1"/>
  <c r="O441" i="1"/>
  <c r="O264" i="1"/>
  <c r="N400" i="1"/>
  <c r="N289" i="1"/>
  <c r="R121" i="2"/>
  <c r="P121" i="2"/>
  <c r="W120" i="2"/>
  <c r="R120" i="2"/>
  <c r="P120" i="2"/>
  <c r="R119" i="2"/>
  <c r="P119" i="2"/>
  <c r="T115" i="2"/>
  <c r="S115" i="2"/>
  <c r="R115" i="2"/>
  <c r="T114" i="2"/>
  <c r="S114" i="2"/>
  <c r="R114" i="2"/>
  <c r="R74" i="2"/>
  <c r="Q74" i="2"/>
  <c r="P74" i="2"/>
  <c r="O633" i="1"/>
  <c r="O630" i="1"/>
  <c r="O628" i="1"/>
  <c r="O627" i="1"/>
  <c r="O623" i="1"/>
  <c r="N617" i="1"/>
  <c r="O613" i="1"/>
  <c r="N612" i="1"/>
  <c r="N611" i="1"/>
  <c r="N608" i="1"/>
  <c r="N607" i="1"/>
  <c r="N586" i="1"/>
  <c r="N585" i="1"/>
  <c r="N584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O562" i="1"/>
  <c r="O561" i="1"/>
  <c r="N561" i="1"/>
  <c r="N560" i="1"/>
  <c r="O559" i="1"/>
  <c r="N559" i="1"/>
  <c r="O558" i="1"/>
  <c r="N558" i="1"/>
  <c r="N557" i="1"/>
  <c r="N556" i="1"/>
  <c r="N555" i="1"/>
  <c r="N553" i="1"/>
  <c r="N551" i="1"/>
  <c r="N549" i="1"/>
  <c r="N548" i="1"/>
  <c r="N547" i="1"/>
  <c r="N546" i="1"/>
  <c r="N543" i="1"/>
  <c r="N542" i="1"/>
  <c r="N541" i="1"/>
  <c r="O537" i="1"/>
  <c r="N537" i="1"/>
  <c r="O536" i="1"/>
  <c r="N536" i="1"/>
  <c r="O535" i="1"/>
  <c r="N535" i="1"/>
  <c r="O534" i="1"/>
  <c r="O533" i="1"/>
  <c r="N533" i="1"/>
  <c r="O532" i="1"/>
  <c r="N532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N522" i="1"/>
  <c r="N521" i="1"/>
  <c r="O520" i="1"/>
  <c r="O519" i="1"/>
  <c r="N519" i="1"/>
  <c r="O518" i="1"/>
  <c r="N518" i="1"/>
  <c r="O517" i="1"/>
  <c r="O516" i="1"/>
  <c r="N516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O505" i="1"/>
  <c r="O504" i="1"/>
  <c r="N504" i="1"/>
  <c r="O503" i="1"/>
  <c r="N503" i="1"/>
  <c r="O502" i="1"/>
  <c r="N502" i="1"/>
  <c r="O501" i="1"/>
  <c r="N501" i="1"/>
  <c r="O500" i="1"/>
  <c r="N500" i="1"/>
  <c r="O499" i="1"/>
  <c r="O498" i="1"/>
  <c r="N498" i="1"/>
  <c r="O496" i="1"/>
  <c r="O495" i="1"/>
  <c r="O494" i="1"/>
  <c r="N494" i="1"/>
  <c r="O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2" i="1"/>
  <c r="N472" i="1"/>
  <c r="N471" i="1"/>
  <c r="O470" i="1"/>
  <c r="N470" i="1"/>
  <c r="O469" i="1"/>
  <c r="N469" i="1"/>
  <c r="N466" i="1"/>
  <c r="O465" i="1"/>
  <c r="N465" i="1"/>
  <c r="O463" i="1"/>
  <c r="N463" i="1"/>
  <c r="O462" i="1"/>
  <c r="N462" i="1"/>
  <c r="O461" i="1"/>
  <c r="N461" i="1"/>
  <c r="O460" i="1"/>
  <c r="N460" i="1"/>
  <c r="O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0" i="1"/>
  <c r="O439" i="1"/>
  <c r="O438" i="1"/>
  <c r="O437" i="1"/>
  <c r="O436" i="1"/>
  <c r="O435" i="1"/>
  <c r="O434" i="1"/>
  <c r="O433" i="1"/>
  <c r="N433" i="1"/>
  <c r="N419" i="1"/>
  <c r="O418" i="1"/>
  <c r="N418" i="1"/>
  <c r="O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O405" i="1"/>
  <c r="O404" i="1"/>
  <c r="N404" i="1"/>
  <c r="N403" i="1"/>
  <c r="O402" i="1"/>
  <c r="N402" i="1"/>
  <c r="O399" i="1"/>
  <c r="N399" i="1"/>
  <c r="O397" i="1"/>
  <c r="N397" i="1"/>
  <c r="O396" i="1"/>
  <c r="N396" i="1"/>
  <c r="O395" i="1"/>
  <c r="O394" i="1"/>
  <c r="N394" i="1"/>
  <c r="O393" i="1"/>
  <c r="O392" i="1"/>
  <c r="N392" i="1"/>
  <c r="N391" i="1"/>
  <c r="O390" i="1"/>
  <c r="N388" i="1"/>
  <c r="N387" i="1"/>
  <c r="O386" i="1"/>
  <c r="O385" i="1"/>
  <c r="O384" i="1"/>
  <c r="O383" i="1"/>
  <c r="N383" i="1"/>
  <c r="O382" i="1"/>
  <c r="O380" i="1"/>
  <c r="O379" i="1"/>
  <c r="N379" i="1"/>
  <c r="O378" i="1"/>
  <c r="N378" i="1"/>
  <c r="N377" i="1"/>
  <c r="O376" i="1"/>
  <c r="O375" i="1"/>
  <c r="O373" i="1"/>
  <c r="N373" i="1"/>
  <c r="N372" i="1"/>
  <c r="O371" i="1"/>
  <c r="N371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1" i="1"/>
  <c r="N361" i="1"/>
  <c r="O360" i="1"/>
  <c r="O359" i="1"/>
  <c r="N359" i="1"/>
  <c r="O358" i="1"/>
  <c r="O357" i="1"/>
  <c r="O356" i="1"/>
  <c r="N356" i="1"/>
  <c r="O355" i="1"/>
  <c r="O354" i="1"/>
  <c r="N354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5" i="1"/>
  <c r="N345" i="1"/>
  <c r="O344" i="1"/>
  <c r="N344" i="1"/>
  <c r="O343" i="1"/>
  <c r="N343" i="1"/>
  <c r="O342" i="1"/>
  <c r="O341" i="1"/>
  <c r="N341" i="1"/>
  <c r="O338" i="1"/>
  <c r="N338" i="1"/>
  <c r="O337" i="1"/>
  <c r="N337" i="1"/>
  <c r="O336" i="1"/>
  <c r="N336" i="1"/>
  <c r="N334" i="1"/>
  <c r="O333" i="1"/>
  <c r="N333" i="1"/>
  <c r="O332" i="1"/>
  <c r="N332" i="1"/>
  <c r="O331" i="1"/>
  <c r="N331" i="1"/>
  <c r="O330" i="1"/>
  <c r="N330" i="1"/>
  <c r="O328" i="1"/>
  <c r="O327" i="1"/>
  <c r="N327" i="1"/>
  <c r="O326" i="1"/>
  <c r="N326" i="1"/>
  <c r="O325" i="1"/>
  <c r="N325" i="1"/>
  <c r="O324" i="1"/>
  <c r="N324" i="1"/>
  <c r="N322" i="1"/>
  <c r="N321" i="1"/>
  <c r="O320" i="1"/>
  <c r="N320" i="1"/>
  <c r="O319" i="1"/>
  <c r="N319" i="1"/>
  <c r="O318" i="1"/>
  <c r="N318" i="1"/>
  <c r="O317" i="1"/>
  <c r="O316" i="1"/>
  <c r="N316" i="1"/>
  <c r="O315" i="1"/>
  <c r="N315" i="1"/>
  <c r="O314" i="1"/>
  <c r="N314" i="1"/>
  <c r="O313" i="1"/>
  <c r="N313" i="1"/>
  <c r="O312" i="1"/>
  <c r="N312" i="1"/>
  <c r="O311" i="1"/>
  <c r="O309" i="1"/>
  <c r="N309" i="1"/>
  <c r="O308" i="1"/>
  <c r="N308" i="1"/>
  <c r="O307" i="1"/>
  <c r="N307" i="1"/>
  <c r="N306" i="1"/>
  <c r="N302" i="1"/>
  <c r="N301" i="1"/>
  <c r="O299" i="1"/>
  <c r="N299" i="1"/>
  <c r="O298" i="1"/>
  <c r="O297" i="1"/>
  <c r="O296" i="1"/>
  <c r="N296" i="1"/>
  <c r="N295" i="1"/>
  <c r="O294" i="1"/>
  <c r="N294" i="1"/>
  <c r="O293" i="1"/>
  <c r="N293" i="1"/>
  <c r="O292" i="1"/>
  <c r="N292" i="1"/>
  <c r="O291" i="1"/>
  <c r="N291" i="1"/>
  <c r="O289" i="1"/>
  <c r="O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N278" i="1"/>
  <c r="O277" i="1"/>
  <c r="N277" i="1"/>
  <c r="O276" i="1"/>
  <c r="N276" i="1"/>
  <c r="O275" i="1"/>
  <c r="N275" i="1"/>
  <c r="O274" i="1"/>
  <c r="O272" i="1"/>
  <c r="N272" i="1"/>
  <c r="O271" i="1"/>
  <c r="N271" i="1"/>
  <c r="N270" i="1"/>
  <c r="O269" i="1"/>
  <c r="N269" i="1"/>
  <c r="O268" i="1"/>
  <c r="N268" i="1"/>
  <c r="N267" i="1"/>
  <c r="O266" i="1"/>
  <c r="N266" i="1"/>
  <c r="O265" i="1"/>
  <c r="N265" i="1"/>
  <c r="O263" i="1"/>
  <c r="N263" i="1"/>
  <c r="O262" i="1"/>
  <c r="N262" i="1"/>
  <c r="N261" i="1"/>
  <c r="O260" i="1"/>
  <c r="O259" i="1"/>
  <c r="O258" i="1"/>
  <c r="N258" i="1"/>
  <c r="O257" i="1"/>
  <c r="O256" i="1"/>
  <c r="O255" i="1"/>
  <c r="N255" i="1"/>
  <c r="O254" i="1"/>
  <c r="N254" i="1"/>
  <c r="O253" i="1"/>
  <c r="N253" i="1"/>
  <c r="O251" i="1"/>
  <c r="N251" i="1"/>
  <c r="O250" i="1"/>
  <c r="N250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O242" i="1"/>
  <c r="N242" i="1"/>
  <c r="O241" i="1"/>
  <c r="N241" i="1"/>
  <c r="O240" i="1"/>
  <c r="N240" i="1"/>
  <c r="O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N227" i="1"/>
  <c r="O226" i="1"/>
  <c r="N226" i="1"/>
  <c r="O225" i="1"/>
  <c r="N225" i="1"/>
  <c r="O224" i="1"/>
  <c r="N224" i="1"/>
  <c r="N223" i="1"/>
  <c r="O222" i="1"/>
  <c r="N222" i="1"/>
  <c r="N221" i="1"/>
  <c r="O220" i="1"/>
  <c r="N220" i="1"/>
  <c r="O219" i="1"/>
  <c r="N219" i="1"/>
  <c r="O218" i="1"/>
  <c r="O217" i="1"/>
  <c r="N217" i="1"/>
  <c r="O216" i="1"/>
  <c r="N216" i="1"/>
  <c r="O215" i="1"/>
  <c r="N215" i="1"/>
  <c r="O214" i="1"/>
  <c r="N214" i="1"/>
  <c r="O213" i="1"/>
  <c r="N213" i="1"/>
  <c r="N211" i="1"/>
  <c r="O210" i="1"/>
  <c r="N210" i="1"/>
  <c r="O209" i="1"/>
  <c r="N209" i="1"/>
  <c r="O208" i="1"/>
  <c r="N208" i="1"/>
  <c r="O207" i="1"/>
  <c r="O206" i="1"/>
  <c r="O205" i="1"/>
  <c r="N205" i="1"/>
  <c r="O204" i="1"/>
  <c r="N204" i="1"/>
  <c r="O203" i="1"/>
  <c r="N203" i="1"/>
  <c r="O202" i="1"/>
  <c r="O201" i="1"/>
  <c r="O200" i="1"/>
  <c r="O199" i="1"/>
  <c r="N199" i="1"/>
  <c r="O198" i="1"/>
  <c r="N198" i="1"/>
  <c r="N197" i="1"/>
  <c r="N196" i="1"/>
  <c r="N195" i="1"/>
  <c r="N194" i="1"/>
  <c r="N192" i="1"/>
  <c r="N191" i="1"/>
  <c r="O190" i="1"/>
  <c r="N190" i="1"/>
  <c r="O189" i="1"/>
  <c r="N189" i="1"/>
  <c r="O188" i="1"/>
  <c r="N188" i="1"/>
  <c r="O187" i="1"/>
  <c r="N187" i="1"/>
  <c r="N185" i="1"/>
  <c r="O183" i="1"/>
  <c r="N183" i="1"/>
  <c r="O182" i="1"/>
  <c r="O181" i="1"/>
  <c r="N181" i="1"/>
  <c r="O180" i="1"/>
  <c r="N180" i="1"/>
  <c r="N178" i="1"/>
  <c r="O169" i="1"/>
  <c r="N169" i="1"/>
  <c r="O158" i="1"/>
  <c r="N158" i="1"/>
  <c r="O157" i="1"/>
  <c r="N157" i="1"/>
  <c r="O156" i="1"/>
  <c r="O153" i="1"/>
  <c r="N153" i="1"/>
  <c r="O152" i="1"/>
  <c r="N152" i="1"/>
  <c r="O150" i="1"/>
  <c r="N149" i="1"/>
  <c r="N148" i="1"/>
  <c r="O147" i="1"/>
  <c r="N147" i="1"/>
  <c r="O146" i="1"/>
  <c r="N146" i="1"/>
  <c r="O145" i="1"/>
  <c r="O144" i="1"/>
  <c r="N144" i="1"/>
  <c r="O143" i="1"/>
  <c r="N143" i="1"/>
  <c r="O141" i="1"/>
  <c r="N141" i="1"/>
  <c r="O140" i="1"/>
  <c r="N140" i="1"/>
  <c r="O139" i="1"/>
  <c r="N139" i="1"/>
  <c r="O138" i="1"/>
  <c r="O137" i="1"/>
  <c r="N137" i="1"/>
  <c r="O136" i="1"/>
  <c r="N136" i="1"/>
  <c r="O135" i="1"/>
  <c r="N135" i="1"/>
  <c r="O133" i="1"/>
  <c r="N133" i="1"/>
  <c r="O132" i="1"/>
  <c r="O131" i="1"/>
  <c r="N129" i="1"/>
  <c r="N128" i="1"/>
  <c r="N127" i="1"/>
  <c r="O126" i="1"/>
  <c r="N126" i="1"/>
  <c r="O125" i="1"/>
  <c r="N125" i="1"/>
  <c r="O124" i="1"/>
  <c r="N124" i="1"/>
  <c r="O123" i="1"/>
  <c r="O121" i="1"/>
  <c r="O120" i="1"/>
  <c r="O119" i="1"/>
  <c r="N119" i="1"/>
  <c r="O118" i="1"/>
  <c r="N117" i="1"/>
  <c r="O115" i="1"/>
  <c r="N115" i="1"/>
  <c r="O112" i="1"/>
  <c r="N109" i="1"/>
  <c r="O108" i="1"/>
  <c r="N108" i="1"/>
  <c r="O107" i="1"/>
  <c r="N107" i="1"/>
  <c r="O106" i="1"/>
  <c r="O105" i="1"/>
  <c r="N105" i="1"/>
  <c r="O104" i="1"/>
  <c r="O103" i="1"/>
  <c r="O102" i="1"/>
  <c r="N102" i="1"/>
  <c r="O101" i="1"/>
  <c r="O100" i="1"/>
  <c r="O99" i="1"/>
  <c r="N99" i="1"/>
  <c r="O97" i="1"/>
  <c r="N96" i="1"/>
  <c r="N95" i="1"/>
  <c r="N94" i="1"/>
  <c r="N93" i="1"/>
  <c r="O92" i="1"/>
  <c r="N92" i="1"/>
  <c r="O91" i="1"/>
  <c r="N91" i="1"/>
  <c r="O90" i="1"/>
  <c r="N90" i="1"/>
  <c r="O89" i="1"/>
  <c r="N89" i="1"/>
  <c r="O88" i="1"/>
  <c r="N88" i="1"/>
  <c r="N87" i="1"/>
  <c r="N86" i="1"/>
  <c r="N85" i="1"/>
  <c r="O84" i="1"/>
  <c r="N84" i="1"/>
  <c r="O83" i="1"/>
  <c r="N83" i="1"/>
  <c r="O82" i="1"/>
  <c r="N82" i="1"/>
  <c r="N81" i="1"/>
  <c r="O80" i="1"/>
  <c r="N80" i="1"/>
  <c r="O79" i="1"/>
  <c r="N79" i="1"/>
  <c r="O78" i="1"/>
  <c r="N78" i="1"/>
  <c r="O77" i="1"/>
  <c r="O76" i="1"/>
  <c r="N76" i="1"/>
  <c r="O75" i="1"/>
  <c r="N75" i="1"/>
  <c r="O74" i="1"/>
  <c r="N74" i="1"/>
  <c r="N73" i="1"/>
  <c r="O72" i="1"/>
  <c r="O71" i="1"/>
  <c r="O70" i="1"/>
  <c r="N70" i="1"/>
  <c r="O68" i="1"/>
  <c r="O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7" i="1"/>
  <c r="O56" i="1"/>
  <c r="N56" i="1"/>
  <c r="O54" i="1"/>
  <c r="N54" i="1"/>
  <c r="N53" i="1"/>
  <c r="N46" i="1"/>
  <c r="O45" i="1"/>
  <c r="N45" i="1"/>
  <c r="O44" i="1"/>
  <c r="N44" i="1"/>
  <c r="O43" i="1"/>
  <c r="N43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3" i="1"/>
  <c r="N33" i="1"/>
  <c r="O32" i="1"/>
  <c r="N32" i="1"/>
  <c r="O31" i="1"/>
  <c r="N31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1" i="1"/>
  <c r="N21" i="1"/>
  <c r="O20" i="1"/>
  <c r="N20" i="1"/>
  <c r="O19" i="1"/>
  <c r="N19" i="1"/>
  <c r="O18" i="1"/>
  <c r="N18" i="1"/>
  <c r="O17" i="1"/>
  <c r="N17" i="1"/>
  <c r="N16" i="1"/>
  <c r="N15" i="1"/>
  <c r="N14" i="1"/>
  <c r="N13" i="1"/>
  <c r="N12" i="1"/>
  <c r="N11" i="1"/>
  <c r="N10" i="1"/>
  <c r="N9" i="1"/>
  <c r="N8" i="1"/>
  <c r="N6" i="1"/>
  <c r="N5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<sst xmlns="http://schemas.openxmlformats.org/spreadsheetml/2006/main" count="6331" uniqueCount="1846">
  <si>
    <t>Pasta</t>
  </si>
  <si>
    <t xml:space="preserve">Processo </t>
  </si>
  <si>
    <t>Ano</t>
  </si>
  <si>
    <t>CNPJ</t>
  </si>
  <si>
    <t>Razão Social</t>
  </si>
  <si>
    <t>Cidade</t>
  </si>
  <si>
    <t>Bairro</t>
  </si>
  <si>
    <t>Grupo</t>
  </si>
  <si>
    <t>Tipo</t>
  </si>
  <si>
    <t>Atividade Licenciada</t>
  </si>
  <si>
    <t>Depart.</t>
  </si>
  <si>
    <t>Validade</t>
  </si>
  <si>
    <t xml:space="preserve"> Renovação</t>
  </si>
  <si>
    <t>Status</t>
  </si>
  <si>
    <t>03.443.704/0001-27</t>
  </si>
  <si>
    <t>Fábrica de Gelo do Marujo LTDA</t>
  </si>
  <si>
    <t>Marabá</t>
  </si>
  <si>
    <t>Nova Marabá</t>
  </si>
  <si>
    <t>Amarelo</t>
  </si>
  <si>
    <t>LO</t>
  </si>
  <si>
    <t>Fabricação de Gelo Comum</t>
  </si>
  <si>
    <t>SEMMA</t>
  </si>
  <si>
    <t>148.119.602-20</t>
  </si>
  <si>
    <t>Jânio Coelho Lara</t>
  </si>
  <si>
    <t>Praia do Tucunaré</t>
  </si>
  <si>
    <t>Flutuante Residencial</t>
  </si>
  <si>
    <t>03.995.515/0034-25</t>
  </si>
  <si>
    <t>Mateus Supermercados S.A.</t>
  </si>
  <si>
    <t xml:space="preserve">Imperatriz </t>
  </si>
  <si>
    <t>Babaçulândia</t>
  </si>
  <si>
    <t>Válida</t>
  </si>
  <si>
    <t>03.995.515/0027-04</t>
  </si>
  <si>
    <t xml:space="preserve">Bacuri </t>
  </si>
  <si>
    <t>03.995.515/0004-00</t>
  </si>
  <si>
    <t>Mateus Supermercados S.A. (Super Goiás)</t>
  </si>
  <si>
    <t>Jardim 3 Poderes</t>
  </si>
  <si>
    <t>Conveniência</t>
  </si>
  <si>
    <t>03.995.515/0029-68</t>
  </si>
  <si>
    <t>Mateus Supermercados S.A. (JK)</t>
  </si>
  <si>
    <t>Boca da Mata</t>
  </si>
  <si>
    <t>LI</t>
  </si>
  <si>
    <t>03.995.515/0045-88</t>
  </si>
  <si>
    <t>Mateus Supermercados S.A. (Newton Bello)</t>
  </si>
  <si>
    <t>Independência</t>
  </si>
  <si>
    <t>03.995.515/0015-62</t>
  </si>
  <si>
    <t>Tamandaré</t>
  </si>
  <si>
    <t>03.995.515/0002-48</t>
  </si>
  <si>
    <t>Mateus Supermercados S.A. (Rua Ceará)</t>
  </si>
  <si>
    <t>Centro</t>
  </si>
  <si>
    <t>DLA</t>
  </si>
  <si>
    <t>33.978.984/0002-10</t>
  </si>
  <si>
    <t>Indústrias Blanco LTDA</t>
  </si>
  <si>
    <t>Expansão Urbana</t>
  </si>
  <si>
    <t>46.675.814/0007-12</t>
  </si>
  <si>
    <t>Mais Invicta Distribuidora LTDA</t>
  </si>
  <si>
    <t xml:space="preserve">Entroncamento </t>
  </si>
  <si>
    <t>18.972.572/0001-06</t>
  </si>
  <si>
    <t>Condomínio Mirante do Vale (ETE)</t>
  </si>
  <si>
    <t>Cidade Nova</t>
  </si>
  <si>
    <t>Comércio de Produtos Alimenticios</t>
  </si>
  <si>
    <t>000163/2024-09</t>
  </si>
  <si>
    <t>39.931.615/0001-77</t>
  </si>
  <si>
    <t>Concretec Engenharia LTDA</t>
  </si>
  <si>
    <t xml:space="preserve">Cidade Nova </t>
  </si>
  <si>
    <t>Escritório Administrativo</t>
  </si>
  <si>
    <t>02.692.797/0008-37</t>
  </si>
  <si>
    <t>Continental Serviços do Brasil LTDA</t>
  </si>
  <si>
    <t>Zona Rural</t>
  </si>
  <si>
    <t>Comércio de pescados</t>
  </si>
  <si>
    <t>24.440.525/0002-97</t>
  </si>
  <si>
    <t>G H Comércio Varejista de Bebidas e Gás LTDA</t>
  </si>
  <si>
    <t>Belo Horizonte</t>
  </si>
  <si>
    <t>24.440.525/0003-78</t>
  </si>
  <si>
    <t>Cidade Jardim</t>
  </si>
  <si>
    <t>26/01/20025</t>
  </si>
  <si>
    <t>000.452/2025-81</t>
  </si>
  <si>
    <t>00.861.387/0001-70</t>
  </si>
  <si>
    <t xml:space="preserve">Atair T Ferreira ME </t>
  </si>
  <si>
    <t>Comércio de madeira</t>
  </si>
  <si>
    <t>R20239185</t>
  </si>
  <si>
    <t>03.995.515/0062-89</t>
  </si>
  <si>
    <t>Parauapebas</t>
  </si>
  <si>
    <t>Nova Carajás</t>
  </si>
  <si>
    <t>Hiper e Supermercado</t>
  </si>
  <si>
    <t>R20214959</t>
  </si>
  <si>
    <t>03.995.515/0138-11</t>
  </si>
  <si>
    <t>Rodovia PA 160</t>
  </si>
  <si>
    <t>23.439.441/0021-33</t>
  </si>
  <si>
    <t>Armazém Mateus S.A.</t>
  </si>
  <si>
    <t>Da Paz</t>
  </si>
  <si>
    <t>Indeterminada</t>
  </si>
  <si>
    <t xml:space="preserve">Indeterminada </t>
  </si>
  <si>
    <t>R20238469</t>
  </si>
  <si>
    <t>03.995.515/0077-65</t>
  </si>
  <si>
    <t>Rio Verde</t>
  </si>
  <si>
    <t>Loja de Departamento ou Magazine</t>
  </si>
  <si>
    <t>R20238458</t>
  </si>
  <si>
    <t>03.995.515/0075-01</t>
  </si>
  <si>
    <t>R20238461</t>
  </si>
  <si>
    <t>03.995.515/0076-84</t>
  </si>
  <si>
    <t>R20236453</t>
  </si>
  <si>
    <t>03.995.515/0129-20</t>
  </si>
  <si>
    <t>União</t>
  </si>
  <si>
    <t>03.995.515/0137-30</t>
  </si>
  <si>
    <t>Belém</t>
  </si>
  <si>
    <t>Dr. Freitas</t>
  </si>
  <si>
    <t>03.995.515/0092-02</t>
  </si>
  <si>
    <t>Tenoné</t>
  </si>
  <si>
    <t>03.995.515/0186-19</t>
  </si>
  <si>
    <t>Bragança</t>
  </si>
  <si>
    <t xml:space="preserve">Padre Luiz </t>
  </si>
  <si>
    <t>03.995.515/0214-07</t>
  </si>
  <si>
    <t xml:space="preserve">LO </t>
  </si>
  <si>
    <t>03.995.515/0155-12</t>
  </si>
  <si>
    <t>Barcarena</t>
  </si>
  <si>
    <t xml:space="preserve">Operações </t>
  </si>
  <si>
    <t>03.995.515/0170-51</t>
  </si>
  <si>
    <t>2025SM0002840</t>
  </si>
  <si>
    <t>03.995.515/0120-92</t>
  </si>
  <si>
    <t>Marituba</t>
  </si>
  <si>
    <t>Decolville</t>
  </si>
  <si>
    <t>2025SM0000595</t>
  </si>
  <si>
    <t>03.995.515/0298-15</t>
  </si>
  <si>
    <t>Novo Horizonte</t>
  </si>
  <si>
    <t>2025SM0002843</t>
  </si>
  <si>
    <t>23.439.441/0040-04</t>
  </si>
  <si>
    <t>Decoville</t>
  </si>
  <si>
    <t>03.995.515/0113-63</t>
  </si>
  <si>
    <t>Abaetetuba</t>
  </si>
  <si>
    <t>Castanhal</t>
  </si>
  <si>
    <t>03.995.515/0096-28</t>
  </si>
  <si>
    <t>Marambaia</t>
  </si>
  <si>
    <t>03.995.515/0197-71</t>
  </si>
  <si>
    <t>Parque Verde</t>
  </si>
  <si>
    <t>03.995.515/0234-50</t>
  </si>
  <si>
    <t>Batista Campos</t>
  </si>
  <si>
    <t xml:space="preserve">Encerrado </t>
  </si>
  <si>
    <t>03.995.515/0196-90</t>
  </si>
  <si>
    <t>Campina</t>
  </si>
  <si>
    <t>03.995.515/0225-60</t>
  </si>
  <si>
    <t>20.665.359/0001-95</t>
  </si>
  <si>
    <t>Posto Praça Marabá Comércio de Combustíveis LTDA</t>
  </si>
  <si>
    <t xml:space="preserve">Nova Marabá </t>
  </si>
  <si>
    <t>Comércio varejista de peças e lubrificantes automotores</t>
  </si>
  <si>
    <t>03.995.515/0053-98</t>
  </si>
  <si>
    <t>03.995.515/0052-07</t>
  </si>
  <si>
    <t>75.315.333/0200-53</t>
  </si>
  <si>
    <t xml:space="preserve">Atacadão S.A. </t>
  </si>
  <si>
    <t>000.055/2024-28</t>
  </si>
  <si>
    <t>54.974.815/0001-09</t>
  </si>
  <si>
    <t>Royal Garden SPE LTDA</t>
  </si>
  <si>
    <t>Comércio de Matreriais de Construição</t>
  </si>
  <si>
    <t>21.058.147/0001-02</t>
  </si>
  <si>
    <t>FGS Construtora e Serviços LTDA</t>
  </si>
  <si>
    <t>São Félix II</t>
  </si>
  <si>
    <t>000.026/2024-66</t>
  </si>
  <si>
    <t>13.323.235/0001-66</t>
  </si>
  <si>
    <t>XM Minc Incorporações LTDA</t>
  </si>
  <si>
    <t>Supressão</t>
  </si>
  <si>
    <t>Serviçode engenharia</t>
  </si>
  <si>
    <t>000.114/2024-68</t>
  </si>
  <si>
    <t>61.710.210/0001-68</t>
  </si>
  <si>
    <t>Mirante Empresarial Empreendimento SPE LTDA</t>
  </si>
  <si>
    <t xml:space="preserve">LI </t>
  </si>
  <si>
    <t>19.969.637/0001-19</t>
  </si>
  <si>
    <t>M D Serviços e Engenharia LTDA</t>
  </si>
  <si>
    <t>02.581.315/0001-48</t>
  </si>
  <si>
    <t>G A Empreendimentos LTDA</t>
  </si>
  <si>
    <t>Mirante do Vale</t>
  </si>
  <si>
    <t>Loteamento</t>
  </si>
  <si>
    <t>Indterminada</t>
  </si>
  <si>
    <t>05.484.088/0001-88</t>
  </si>
  <si>
    <t>Mirante Construtora LTDA</t>
  </si>
  <si>
    <t>43.403.561/0001-44</t>
  </si>
  <si>
    <t>Condominio Mirante Park SPE LTDA</t>
  </si>
  <si>
    <t>83.584.433/0001-69</t>
  </si>
  <si>
    <t xml:space="preserve">Martins Auto Peças LTDA </t>
  </si>
  <si>
    <t>Venda de Lubrificantes</t>
  </si>
  <si>
    <t>11.813.872/0002-76</t>
  </si>
  <si>
    <t>Disbrasil – Distribuidora de Peças Brasil LTDA</t>
  </si>
  <si>
    <t>Comércio de Peças Pará Veículos Automotores</t>
  </si>
  <si>
    <t>Valida</t>
  </si>
  <si>
    <t>03.995.515/0188-80</t>
  </si>
  <si>
    <t>Paragominas</t>
  </si>
  <si>
    <t>27.352.414/0038-28</t>
  </si>
  <si>
    <t>Posterus Supermercados LTDA</t>
  </si>
  <si>
    <t>Tomé Açú</t>
  </si>
  <si>
    <t>03.995.515/0054-79</t>
  </si>
  <si>
    <t>27.352.414/0010-27</t>
  </si>
  <si>
    <t>Dom Eliseu</t>
  </si>
  <si>
    <t>27.352.414/0032-32</t>
  </si>
  <si>
    <t>Itinga do Maranhão</t>
  </si>
  <si>
    <t>27.352.414/0027-75</t>
  </si>
  <si>
    <t>Itupiranga</t>
  </si>
  <si>
    <t>27.352.414/0009-93</t>
  </si>
  <si>
    <t>São Félix</t>
  </si>
  <si>
    <t>03.995.515/0128-40</t>
  </si>
  <si>
    <t>Mateus Supermercados S. A.</t>
  </si>
  <si>
    <t>Rondon do Pará</t>
  </si>
  <si>
    <t>SECMA</t>
  </si>
  <si>
    <t>27.352.414/0012-99</t>
  </si>
  <si>
    <t xml:space="preserve">Hiper e Supermercado </t>
  </si>
  <si>
    <t>27.352.414/019-65</t>
  </si>
  <si>
    <t>Conceição do Araguaia</t>
  </si>
  <si>
    <t>SEMARH</t>
  </si>
  <si>
    <t>03.995.515/0132-26</t>
  </si>
  <si>
    <t>Mateus Supermercados S.A</t>
  </si>
  <si>
    <t>31/11/2025</t>
  </si>
  <si>
    <t>03.995.515/0121-73</t>
  </si>
  <si>
    <t>Xinguara</t>
  </si>
  <si>
    <t>SEMMATUR</t>
  </si>
  <si>
    <t>03.995.515/0133-07</t>
  </si>
  <si>
    <t>Redenção</t>
  </si>
  <si>
    <t>Vila Paulista</t>
  </si>
  <si>
    <t>27.352.414/0003-06</t>
  </si>
  <si>
    <t xml:space="preserve"> Posterus Supermercados LTDA</t>
  </si>
  <si>
    <t>Jacundá</t>
  </si>
  <si>
    <t xml:space="preserve">Centro </t>
  </si>
  <si>
    <t>SEMATUR</t>
  </si>
  <si>
    <t>03.995.515/0086-56</t>
  </si>
  <si>
    <t>03.995.515/0037-78</t>
  </si>
  <si>
    <t>Mateus Supermercados S.A (NOVO)</t>
  </si>
  <si>
    <t>03.995.515/0046-21</t>
  </si>
  <si>
    <t>Capanema</t>
  </si>
  <si>
    <t>São Domingos</t>
  </si>
  <si>
    <t>13.667.021/0001-07</t>
  </si>
  <si>
    <t>O. A. D. de Oliveira LTDA</t>
  </si>
  <si>
    <t>Amapá</t>
  </si>
  <si>
    <t>Restaurantes</t>
  </si>
  <si>
    <t>79.379.491/0080-87</t>
  </si>
  <si>
    <t>Havan Lojas de Departamentos LTDA</t>
  </si>
  <si>
    <t>Loja de departamento</t>
  </si>
  <si>
    <t>16.695.129/0001-00</t>
  </si>
  <si>
    <t>ACC dos Santos Alimentação LTDA</t>
  </si>
  <si>
    <t>11.090.652/0001-80</t>
  </si>
  <si>
    <t>Mirante Empreendimentos Imobiliários (Mirante Ville)</t>
  </si>
  <si>
    <t>Condominio habitacional</t>
  </si>
  <si>
    <t>Mirante Empreendimentos Imobiliários LTDA</t>
  </si>
  <si>
    <t>Novo Repartimento</t>
  </si>
  <si>
    <t>03.995.515/0163-22</t>
  </si>
  <si>
    <t>Capuava</t>
  </si>
  <si>
    <t>05.400.710/0001-22</t>
  </si>
  <si>
    <t>Lopes e Barbosa Imóveis LTDA</t>
  </si>
  <si>
    <t>Shoping Center</t>
  </si>
  <si>
    <t>05.758.084/0001-40</t>
  </si>
  <si>
    <t xml:space="preserve">Comércio Nacional de Alimentos Eireli </t>
  </si>
  <si>
    <t>Encerrado</t>
  </si>
  <si>
    <t>23.457.049/0001-73</t>
  </si>
  <si>
    <t xml:space="preserve">Laticínios Seletto LTDA </t>
  </si>
  <si>
    <t xml:space="preserve">Sapucaia </t>
  </si>
  <si>
    <t>Fabricação de Laticínios</t>
  </si>
  <si>
    <t>59.970.624/0017-41</t>
  </si>
  <si>
    <t>Rodobens Caminhões Cirasa S.A.</t>
  </si>
  <si>
    <t>Imperatriz</t>
  </si>
  <si>
    <t>Coco Grande</t>
  </si>
  <si>
    <t>Comércio Atacado Caminhões</t>
  </si>
  <si>
    <t>27.584.009/0001-43</t>
  </si>
  <si>
    <t>Marabá Gelo LTDA</t>
  </si>
  <si>
    <t>Velha Marabá</t>
  </si>
  <si>
    <t>Fabricação de Gelo</t>
  </si>
  <si>
    <t>08.436.345/0002-85</t>
  </si>
  <si>
    <t xml:space="preserve">T A Fraga </t>
  </si>
  <si>
    <t>SEMAS</t>
  </si>
  <si>
    <t>27.742.354/0001-68</t>
  </si>
  <si>
    <t>Condominio Mirante Village</t>
  </si>
  <si>
    <t>Estação de tratamento de Efluentes</t>
  </si>
  <si>
    <t>03.995.515/0256-66</t>
  </si>
  <si>
    <t xml:space="preserve">Mateus Supermercados S.A. </t>
  </si>
  <si>
    <t>Icoaraci</t>
  </si>
  <si>
    <t xml:space="preserve">Condomínio Habitacional </t>
  </si>
  <si>
    <t>03.995.515/0255-85</t>
  </si>
  <si>
    <t>Balsas</t>
  </si>
  <si>
    <t>Potosí</t>
  </si>
  <si>
    <t>SEMMARH</t>
  </si>
  <si>
    <t>03.995.515/0255-86</t>
  </si>
  <si>
    <t>27.352.416/0024-22</t>
  </si>
  <si>
    <t>Goianésia do Pará</t>
  </si>
  <si>
    <t>São Luiz</t>
  </si>
  <si>
    <t>03.995.515/0160-80</t>
  </si>
  <si>
    <t>Mateus Supermercados S.A. (Mix Mateus)</t>
  </si>
  <si>
    <t>Tucuruí</t>
  </si>
  <si>
    <t>Jardim Paraíso</t>
  </si>
  <si>
    <t>Hiper e Supermercados</t>
  </si>
  <si>
    <t>03.995.515/0094-66</t>
  </si>
  <si>
    <t>Mateus Supermercados S.A. (Eletro Mateus)</t>
  </si>
  <si>
    <t xml:space="preserve">Cohab </t>
  </si>
  <si>
    <t>23.439.441/0036-10</t>
  </si>
  <si>
    <t>Vila Tucuruí</t>
  </si>
  <si>
    <t>03.995.515/0018-05</t>
  </si>
  <si>
    <t>Açailândia</t>
  </si>
  <si>
    <t>03.995.515/0123-35</t>
  </si>
  <si>
    <t>Residencial Tropical</t>
  </si>
  <si>
    <t>03.995.515/0204-35</t>
  </si>
  <si>
    <t>Cametá</t>
  </si>
  <si>
    <t xml:space="preserve">Armazém Mateus S.A. </t>
  </si>
  <si>
    <t xml:space="preserve">Belém </t>
  </si>
  <si>
    <t>03.995.515/0090-32</t>
  </si>
  <si>
    <t>Ianetama</t>
  </si>
  <si>
    <t>03.995.515/0145-40</t>
  </si>
  <si>
    <t>109/2024</t>
  </si>
  <si>
    <t>08.898.073/0005-88</t>
  </si>
  <si>
    <t>Industria de Pães e Massa Mateus Ltda</t>
  </si>
  <si>
    <t>Santa Izabel do Pará</t>
  </si>
  <si>
    <t>Distrito de Americano</t>
  </si>
  <si>
    <t>23.439.441/0042-68</t>
  </si>
  <si>
    <t>Armazém Mateus S.A. (CD Mateus)</t>
  </si>
  <si>
    <t>23.439.441/0044-20</t>
  </si>
  <si>
    <t>Armazém Mateus S.A. (Oficina mecânica)</t>
  </si>
  <si>
    <t>09.136.709/0001-93</t>
  </si>
  <si>
    <t>Reciclagem Oliveira Cruz LTDA</t>
  </si>
  <si>
    <t>Gestão de Resíduos Sólidos Recicláveis</t>
  </si>
  <si>
    <t>03.995.515/0143-89</t>
  </si>
  <si>
    <t xml:space="preserve">Tailândia </t>
  </si>
  <si>
    <t>Bairro Industrial</t>
  </si>
  <si>
    <t>SECTMA</t>
  </si>
  <si>
    <t>28.860.289/0001-38</t>
  </si>
  <si>
    <t>Condomínio Mirante Boulevard SPE LTDA</t>
  </si>
  <si>
    <t>Condominio Residencial</t>
  </si>
  <si>
    <t>30.064.708/0001-77</t>
  </si>
  <si>
    <t xml:space="preserve">C V da Silva Indústria de Palmito Eireli </t>
  </si>
  <si>
    <t>Palmiteira</t>
  </si>
  <si>
    <t>03.995.515/0106-34</t>
  </si>
  <si>
    <t>Medicilândia</t>
  </si>
  <si>
    <t>03.995.515/0109-87</t>
  </si>
  <si>
    <t>Uruará</t>
  </si>
  <si>
    <t>L2025000003884</t>
  </si>
  <si>
    <t>03.995.515/0105-53</t>
  </si>
  <si>
    <t>Mateus Supermercados S. A. (Eletro 7 de Setembro)</t>
  </si>
  <si>
    <t xml:space="preserve">Altamira </t>
  </si>
  <si>
    <t>SEMMAT</t>
  </si>
  <si>
    <t>L20250000264</t>
  </si>
  <si>
    <t>03.995.515/0101-20</t>
  </si>
  <si>
    <t>Mateus Supermercados S. A. (Eletro Tancredo Neves)</t>
  </si>
  <si>
    <t>L202500004208</t>
  </si>
  <si>
    <t>03.995.515/0093-85</t>
  </si>
  <si>
    <t>Mateus Supermercados S. A. (Mix Mateus)</t>
  </si>
  <si>
    <t xml:space="preserve">Bela Vista </t>
  </si>
  <si>
    <t>SEMAT</t>
  </si>
  <si>
    <t>44.280.527/0001-71</t>
  </si>
  <si>
    <t>Condominio Mirante Prime</t>
  </si>
  <si>
    <t>ETE</t>
  </si>
  <si>
    <t>47.103.712/0001-08</t>
  </si>
  <si>
    <t>Condomínio Mirante Riviera</t>
  </si>
  <si>
    <t>R202300008529</t>
  </si>
  <si>
    <t>48.275.955/0001-88</t>
  </si>
  <si>
    <t>Condomínio Mirante da Serra</t>
  </si>
  <si>
    <t>LIO</t>
  </si>
  <si>
    <t>LP</t>
  </si>
  <si>
    <t>12.021.777/0001-11</t>
  </si>
  <si>
    <t>Condomínio do Residencial Green Village</t>
  </si>
  <si>
    <t xml:space="preserve">Marabá </t>
  </si>
  <si>
    <t>Condomínio Habitacional</t>
  </si>
  <si>
    <t>12.475.787/0001-27</t>
  </si>
  <si>
    <t>S M de Oliveira Restaurante Eireli</t>
  </si>
  <si>
    <t>03.995.515/0193-48</t>
  </si>
  <si>
    <t>São Miguel do Guamá</t>
  </si>
  <si>
    <t xml:space="preserve">Hiper e Supermercados </t>
  </si>
  <si>
    <t>27.352.414/0005-60</t>
  </si>
  <si>
    <t>Tucumã</t>
  </si>
  <si>
    <t>41.397.871/0001-78</t>
  </si>
  <si>
    <t>Condomínio Mirante River Beach SPE LTDA</t>
  </si>
  <si>
    <t>000.368/2025-67</t>
  </si>
  <si>
    <t>54.802.325/0001-17</t>
  </si>
  <si>
    <t>PTA Serviços de Saúde LTDA</t>
  </si>
  <si>
    <t>R258655</t>
  </si>
  <si>
    <t>03.995.515/0173-02</t>
  </si>
  <si>
    <t>Mateus Supermercados S.A. (Eletro)</t>
  </si>
  <si>
    <t>Ananindeua</t>
  </si>
  <si>
    <t>Coqueiro</t>
  </si>
  <si>
    <t>R84423</t>
  </si>
  <si>
    <t>03.995.515/0091-13</t>
  </si>
  <si>
    <t>Atalaia</t>
  </si>
  <si>
    <t>L73923</t>
  </si>
  <si>
    <t>03.995.515/0148-93</t>
  </si>
  <si>
    <t>R63824</t>
  </si>
  <si>
    <t>03.995.515/0095-47</t>
  </si>
  <si>
    <t>R258652</t>
  </si>
  <si>
    <t>03.995.515/0174-85</t>
  </si>
  <si>
    <t>03.995.515/0333-35</t>
  </si>
  <si>
    <t>Estrada do Guajara</t>
  </si>
  <si>
    <t>000.117/2025-82</t>
  </si>
  <si>
    <t>58.497.760/0001-36</t>
  </si>
  <si>
    <t>Auto Posto Rodo Prime LTDA</t>
  </si>
  <si>
    <t xml:space="preserve">Morada Nova </t>
  </si>
  <si>
    <t>Comércio Atacadista de resíduos de papel e papelão</t>
  </si>
  <si>
    <t xml:space="preserve">Válida </t>
  </si>
  <si>
    <t>000.812/2025-44</t>
  </si>
  <si>
    <t>59.112.246/0001-06</t>
  </si>
  <si>
    <t>Mirante Bougainville Empreendimento SPE LTDA</t>
  </si>
  <si>
    <t>2025/14200017</t>
  </si>
  <si>
    <t>56.331.061/0001-64</t>
  </si>
  <si>
    <t>Mirante Ville Ananindeua Empreendimentos SPE LTDA</t>
  </si>
  <si>
    <t>Aurá</t>
  </si>
  <si>
    <t>03.995.515/0253-13</t>
  </si>
  <si>
    <t xml:space="preserve">Vigia de Nazaré </t>
  </si>
  <si>
    <t>Instalação e Manutenção de Centrais de Ar</t>
  </si>
  <si>
    <t>41.731.903/0001-20</t>
  </si>
  <si>
    <t>Brazil's Frutas Natural Secret Eireli</t>
  </si>
  <si>
    <t>Cajazeiras</t>
  </si>
  <si>
    <t>Fabricação de Conservas de Frutas</t>
  </si>
  <si>
    <t>L2025000000502</t>
  </si>
  <si>
    <t>03.995.515/0079-27</t>
  </si>
  <si>
    <t>Eldorado dos Carajás</t>
  </si>
  <si>
    <t>03.995.515/0080-60</t>
  </si>
  <si>
    <t>Curionópolis</t>
  </si>
  <si>
    <t>03.995.515/0085-75</t>
  </si>
  <si>
    <t>03.995.515/0084-94</t>
  </si>
  <si>
    <t>Liberdade</t>
  </si>
  <si>
    <t>000.565/2024-03</t>
  </si>
  <si>
    <t>03.995.515/0088-18</t>
  </si>
  <si>
    <t>00.799.698/0001-66</t>
  </si>
  <si>
    <t>Itapuan Serviços de Limpeza e Locações LTDA</t>
  </si>
  <si>
    <t>Vila São José</t>
  </si>
  <si>
    <t>Coleta de Residuos não perigosos</t>
  </si>
  <si>
    <t>29.314.237/0002-00</t>
  </si>
  <si>
    <t>Umarizal Comércio de Pneus LTDA</t>
  </si>
  <si>
    <t>Marco</t>
  </si>
  <si>
    <t>Marrom</t>
  </si>
  <si>
    <t>Oficina de carros</t>
  </si>
  <si>
    <t>09.647.935/0002-10</t>
  </si>
  <si>
    <t>De Pneus Comércio LTDA EPP</t>
  </si>
  <si>
    <t>Tapanã</t>
  </si>
  <si>
    <t>01.699.258/0001-90</t>
  </si>
  <si>
    <t>Tubarão Locações LTDA</t>
  </si>
  <si>
    <t>10.669.522/0001-34</t>
  </si>
  <si>
    <t>Laje &amp; Ferreira LTDA ME</t>
  </si>
  <si>
    <t>29.314.237/0001-29</t>
  </si>
  <si>
    <t>Umarizal</t>
  </si>
  <si>
    <t>Oficina Mecânica</t>
  </si>
  <si>
    <t>17.304.428/0001-20</t>
  </si>
  <si>
    <t>Posto Integral LTDA</t>
  </si>
  <si>
    <t>Grajaú</t>
  </si>
  <si>
    <t xml:space="preserve">Zona Rural </t>
  </si>
  <si>
    <t>SEMA</t>
  </si>
  <si>
    <t>23.439.441/0015-95</t>
  </si>
  <si>
    <t xml:space="preserve">Armazém Mateus </t>
  </si>
  <si>
    <t>Davinópolis</t>
  </si>
  <si>
    <t>Vila Davi II</t>
  </si>
  <si>
    <t>08.898.073/0003-16</t>
  </si>
  <si>
    <t>Indústria de Pães e Massas Mateus LTDA</t>
  </si>
  <si>
    <t>000264/2025-52</t>
  </si>
  <si>
    <t>45.883.595/0001-09</t>
  </si>
  <si>
    <t>Coutinho Horticultura LTDA</t>
  </si>
  <si>
    <t>São Miguel</t>
  </si>
  <si>
    <t>03.995.515/0180-23</t>
  </si>
  <si>
    <t>Canaã dos Carajás</t>
  </si>
  <si>
    <t>03.995.515/0117-97</t>
  </si>
  <si>
    <t>03.995.515/0112-82</t>
  </si>
  <si>
    <t>Nova Olinda</t>
  </si>
  <si>
    <t>577.881.892-00</t>
  </si>
  <si>
    <t>Winston Diamantino (Auto clave)</t>
  </si>
  <si>
    <t>Indeferida</t>
  </si>
  <si>
    <t>03.995.515/0065-21</t>
  </si>
  <si>
    <t xml:space="preserve">Açailândia </t>
  </si>
  <si>
    <t>23.439.441/0038-81</t>
  </si>
  <si>
    <t>LOC</t>
  </si>
  <si>
    <t>03.995.515/0083-03</t>
  </si>
  <si>
    <t>Folha 31</t>
  </si>
  <si>
    <t>09.262.377/0004-36</t>
  </si>
  <si>
    <t>Mateus Eletrônica LTDA</t>
  </si>
  <si>
    <t>Folha 29</t>
  </si>
  <si>
    <t>23.439.441/0051-59</t>
  </si>
  <si>
    <t>Mirante Empreendimntos Imobiliários LTDA</t>
  </si>
  <si>
    <t>16.630.928/0001-90</t>
  </si>
  <si>
    <t>G M Empreendimentos Imobiliários LTDA</t>
  </si>
  <si>
    <t>52.847.495/0001-92</t>
  </si>
  <si>
    <t>Smash Beach Tennis LTDA</t>
  </si>
  <si>
    <t>13.165.116/0001-22</t>
  </si>
  <si>
    <t>Planeta Assessoria e Consultoria LTDA</t>
  </si>
  <si>
    <t>54.021.335/0001-15</t>
  </si>
  <si>
    <t>Lifes Engenharia LTDA</t>
  </si>
  <si>
    <t>20.665.397/0001-48</t>
  </si>
  <si>
    <t>PCG Costa Alves LTDA</t>
  </si>
  <si>
    <t>Araguaia</t>
  </si>
  <si>
    <t>Deposito de produtos perigosos</t>
  </si>
  <si>
    <t>20.665.397/0001-49</t>
  </si>
  <si>
    <t>PCG Costa Alves LTDA (Novo)</t>
  </si>
  <si>
    <t>54.439.204/0001-52</t>
  </si>
  <si>
    <t>Boto Cor de Rosa Café LTDA</t>
  </si>
  <si>
    <t>Andamento</t>
  </si>
  <si>
    <t>53.848.885/0001-40</t>
  </si>
  <si>
    <t>Posto Ouro Verde LTDA</t>
  </si>
  <si>
    <t>Bom Jesus do Tocantins</t>
  </si>
  <si>
    <t>83.897.983/0001-38</t>
  </si>
  <si>
    <t>Cerâmica Fernandes LTDA</t>
  </si>
  <si>
    <t>Folha Industrial</t>
  </si>
  <si>
    <t>04.787.941/0013-01</t>
  </si>
  <si>
    <t xml:space="preserve">Comércio e Transportes Boa Esperança Ltda </t>
  </si>
  <si>
    <t>132/2024</t>
  </si>
  <si>
    <t>37.152.233/0001-10</t>
  </si>
  <si>
    <t xml:space="preserve">Centro Posto Canaã Ltda </t>
  </si>
  <si>
    <t>28.786.506/0001-97</t>
  </si>
  <si>
    <t xml:space="preserve">Tercon Construções e Serviços LTDA </t>
  </si>
  <si>
    <t>São Félix III</t>
  </si>
  <si>
    <t>001.358/2025-49</t>
  </si>
  <si>
    <t>064.703.836-91</t>
  </si>
  <si>
    <t>Rodolfo Miguel Nogueira Borges (Flutuante Paradise)</t>
  </si>
  <si>
    <t>28.221.371/0001-12</t>
  </si>
  <si>
    <t>J L R COMERCIO E SERVICOS LTDA</t>
  </si>
  <si>
    <t>006/2025</t>
  </si>
  <si>
    <t>55.726.728/0001-97</t>
  </si>
  <si>
    <t xml:space="preserve">DALILA V Vidal LTDA </t>
  </si>
  <si>
    <t>Nova Ipixuna</t>
  </si>
  <si>
    <t>050505138.001397/2025-46</t>
  </si>
  <si>
    <t>58.015.761/0001-05</t>
  </si>
  <si>
    <t xml:space="preserve">RS Ribeiro Conveniêcia LTDA </t>
  </si>
  <si>
    <t xml:space="preserve">Belo Horizonte </t>
  </si>
  <si>
    <t>050505138.001912/2025-98</t>
  </si>
  <si>
    <t>63.183.036/0001-78</t>
  </si>
  <si>
    <t>Itiny Lamarck Sousa de Sousa (Território BAR)</t>
  </si>
  <si>
    <t xml:space="preserve">São Félix </t>
  </si>
  <si>
    <t>053/2025</t>
  </si>
  <si>
    <t>03.995.515/0344-95</t>
  </si>
  <si>
    <t>Mateus Supermecados S.A</t>
  </si>
  <si>
    <t>Juscelino Kubitschek</t>
  </si>
  <si>
    <t>01.240.986/0001-30</t>
  </si>
  <si>
    <t xml:space="preserve">Auto Posto Ferroviário LTDA </t>
  </si>
  <si>
    <t>Posto de combustível</t>
  </si>
  <si>
    <t>59.970.624/0019-03</t>
  </si>
  <si>
    <t xml:space="preserve">Rodobens Veículos Comerciais S.A. </t>
  </si>
  <si>
    <t>Oficina Mecanica</t>
  </si>
  <si>
    <t>37.469.272/0001-45</t>
  </si>
  <si>
    <t>2 Brothers Transportadora LTDA</t>
  </si>
  <si>
    <t>13.608.538/001-25</t>
  </si>
  <si>
    <t>Auto Posto Folha 23 LTDA</t>
  </si>
  <si>
    <t>Posto de Combustível</t>
  </si>
  <si>
    <t>13.608.528/0001-26</t>
  </si>
  <si>
    <t>L202500000324</t>
  </si>
  <si>
    <t>37.510.845/0001-37</t>
  </si>
  <si>
    <t xml:space="preserve">A F Leite Comércio de Combustível Eireli </t>
  </si>
  <si>
    <t>Eldorado do Carajás</t>
  </si>
  <si>
    <t>Posto de combustivel</t>
  </si>
  <si>
    <t>L2024000000326</t>
  </si>
  <si>
    <t>31.819.219/0001-40</t>
  </si>
  <si>
    <t>Auto Posto Tracyanne 9 LTDA</t>
  </si>
  <si>
    <t>20.998.397/0001-60</t>
  </si>
  <si>
    <t>Posto do Porto LTDA EPP</t>
  </si>
  <si>
    <t>37.808.513/0001-33</t>
  </si>
  <si>
    <t>Rota Auto Posto Combustível LTDA</t>
  </si>
  <si>
    <t>Comércio de Combustíveis</t>
  </si>
  <si>
    <t>01.219.219/0006-53</t>
  </si>
  <si>
    <t xml:space="preserve">R Motos LTDA </t>
  </si>
  <si>
    <t>05.646.631/0008-72</t>
  </si>
  <si>
    <t>Frutal Indústria e Comércio LTDA</t>
  </si>
  <si>
    <t>Morada Nova</t>
  </si>
  <si>
    <t>Laticínio</t>
  </si>
  <si>
    <t>24.440.525/0001-06</t>
  </si>
  <si>
    <t>Comércio de gás</t>
  </si>
  <si>
    <t>14.112.023/0004-45</t>
  </si>
  <si>
    <t>Unimed Sul do Pará Cooperativa de Trabalho Médico</t>
  </si>
  <si>
    <t xml:space="preserve">PARADA </t>
  </si>
  <si>
    <t>45.833.037/0001-39</t>
  </si>
  <si>
    <t>Unisul Pará LTDA</t>
  </si>
  <si>
    <t>Dispensa</t>
  </si>
  <si>
    <t>indeterminada</t>
  </si>
  <si>
    <t>14.112.023/0010-93</t>
  </si>
  <si>
    <t>Hospital</t>
  </si>
  <si>
    <t>14.112.023/0003-64</t>
  </si>
  <si>
    <t>Laranjeiras</t>
  </si>
  <si>
    <t>14.112.023/0005-26</t>
  </si>
  <si>
    <t xml:space="preserve">Andamento </t>
  </si>
  <si>
    <t>42.282.613/0001-09</t>
  </si>
  <si>
    <t>Revemar Comércio de Automóveis e Utilitários LTDA</t>
  </si>
  <si>
    <t xml:space="preserve">Marco </t>
  </si>
  <si>
    <t>395/07/2024</t>
  </si>
  <si>
    <t>01.219.219/0011-10</t>
  </si>
  <si>
    <t>Pacajá</t>
  </si>
  <si>
    <t>Oficina de motos</t>
  </si>
  <si>
    <t>01.219.219/0015-44</t>
  </si>
  <si>
    <t>Anapú</t>
  </si>
  <si>
    <t>Ofidina de motos</t>
  </si>
  <si>
    <t>14.133.730/0005-07</t>
  </si>
  <si>
    <t>Sulpará Caminhões e Máquinas LTDA</t>
  </si>
  <si>
    <t>09.580.023/0001-97</t>
  </si>
  <si>
    <t>Revemar Campo Comércio de Máquinas LTDA</t>
  </si>
  <si>
    <t>001.085/2025-12</t>
  </si>
  <si>
    <t>04.747.226/0001-01</t>
  </si>
  <si>
    <t>Revemar Revendedora de Veículos Marabá LTDA</t>
  </si>
  <si>
    <t>14.133.730/0002-56</t>
  </si>
  <si>
    <t>Ademar Guimarães</t>
  </si>
  <si>
    <t>34.133.730/0006-80</t>
  </si>
  <si>
    <t>000175/2024-25</t>
  </si>
  <si>
    <t>17.449.881/0001-25</t>
  </si>
  <si>
    <t>Revemar Comércio de Máquinas Industriais LTDA</t>
  </si>
  <si>
    <t>17.449.881/0002-06</t>
  </si>
  <si>
    <t>Águas Lindas</t>
  </si>
  <si>
    <t>14.133.730/0001-75</t>
  </si>
  <si>
    <t xml:space="preserve">Sulpará Caminhões e Máquinas LTDA </t>
  </si>
  <si>
    <t>L20239784</t>
  </si>
  <si>
    <t>04.747.226/0003-73</t>
  </si>
  <si>
    <t>Manutenção e reParáção veículos</t>
  </si>
  <si>
    <t>08.890.157/0001-41</t>
  </si>
  <si>
    <t>Samurai Comércio de Automóveis LTDA</t>
  </si>
  <si>
    <t>20.548.634/0001-90</t>
  </si>
  <si>
    <t>B M Locações LTDA</t>
  </si>
  <si>
    <t>Espigão</t>
  </si>
  <si>
    <t>15.715.870/0001-14</t>
  </si>
  <si>
    <t>H. Veloso Soares e Cia LTDA</t>
  </si>
  <si>
    <t>15.715.870/0001-15</t>
  </si>
  <si>
    <t>Licença Prefeito</t>
  </si>
  <si>
    <t>05.049.200/0001-52</t>
  </si>
  <si>
    <t>Laboratório Santa Marta LTDA</t>
  </si>
  <si>
    <t>Laboratorio</t>
  </si>
  <si>
    <t>23.183.719/0001-00</t>
  </si>
  <si>
    <t>Indústria de Laticínios Q Vida Eirelli</t>
  </si>
  <si>
    <t>Laticínios</t>
  </si>
  <si>
    <t>39.818.482/0001-27</t>
  </si>
  <si>
    <t>A Ferreira Leite ME</t>
  </si>
  <si>
    <t>Gás</t>
  </si>
  <si>
    <t>05.632.683/0001-13</t>
  </si>
  <si>
    <t>Auto Posto Tracyanne LTDA</t>
  </si>
  <si>
    <t>38.023.637/0001-77</t>
  </si>
  <si>
    <t>Cerâmica Itabaiana LTDA (Fabricação)</t>
  </si>
  <si>
    <t>40.553.645/0001-76</t>
  </si>
  <si>
    <t xml:space="preserve">A T Leite Comércio Varejista de Combustíveis LTDA </t>
  </si>
  <si>
    <t>Sororó</t>
  </si>
  <si>
    <t>07.561.621/0001-93</t>
  </si>
  <si>
    <t>Araguatins/TO</t>
  </si>
  <si>
    <t>NATURATINS</t>
  </si>
  <si>
    <t>04.323.802/0001-93</t>
  </si>
  <si>
    <t>Grace Anne Duarte Amorim Leite ME</t>
  </si>
  <si>
    <t>Augustinópolis/TO</t>
  </si>
  <si>
    <t>Boa Vista</t>
  </si>
  <si>
    <t>31.972.369/0001-90</t>
  </si>
  <si>
    <t>GAM Tracy Anne Postos de Combustíveis LTDA</t>
  </si>
  <si>
    <t>09.664.019/0001-07</t>
  </si>
  <si>
    <t>Auto Posto de Combustíveis Madjer LTDA</t>
  </si>
  <si>
    <t>Buriti do Tocantins/TO</t>
  </si>
  <si>
    <t>Comércio de Combustível</t>
  </si>
  <si>
    <t>29.929.091/0001-26</t>
  </si>
  <si>
    <t>Auto Posto Tracy LTDA</t>
  </si>
  <si>
    <t xml:space="preserve"> Novo Horizonte</t>
  </si>
  <si>
    <t>07.712.240/0001-68</t>
  </si>
  <si>
    <t>M V Coml. De Peças Pará Auto e Serviços LTDA</t>
  </si>
  <si>
    <t>Oficina de Carros</t>
  </si>
  <si>
    <t>46.625.188/0001-64</t>
  </si>
  <si>
    <t>RB Auto Center LTDA</t>
  </si>
  <si>
    <t>03.738.205/0002-48</t>
  </si>
  <si>
    <t>L R Gonçalves Eireli</t>
  </si>
  <si>
    <t>Vila Café</t>
  </si>
  <si>
    <t>Coleta, Tratamento e Destinação Final de Esgoto Sanitário.</t>
  </si>
  <si>
    <t>07.845.121/0001-83</t>
  </si>
  <si>
    <t>Nasser &amp; Feitoza Comércio de Combustível</t>
  </si>
  <si>
    <t>Combustível</t>
  </si>
  <si>
    <t>000.989/2025-41</t>
  </si>
  <si>
    <t>32.712.558/0001-96</t>
  </si>
  <si>
    <t>M F Coimbra Geleira LTDA</t>
  </si>
  <si>
    <t>15.463.814/0001-30</t>
  </si>
  <si>
    <t>Oliveira e Tida LTDA</t>
  </si>
  <si>
    <t>03.795.537/0001-83</t>
  </si>
  <si>
    <t>Comércio de Combustíveis Asa Branca LTDA</t>
  </si>
  <si>
    <t>11.167.054/0001-62</t>
  </si>
  <si>
    <t>Auto Posto Corujão LTDA</t>
  </si>
  <si>
    <t>07.820.895/0001-21</t>
  </si>
  <si>
    <t>Auto Posto Ipixuna LTDA</t>
  </si>
  <si>
    <t>Comécio de Combustivel</t>
  </si>
  <si>
    <t>R202000093</t>
  </si>
  <si>
    <t>14.133.730/0004-18</t>
  </si>
  <si>
    <t>Sulpará  Caminhões e Máquinas LTDA</t>
  </si>
  <si>
    <t>Distrito Industrial</t>
  </si>
  <si>
    <t>Oficina mecânica</t>
  </si>
  <si>
    <t>12.397.417/0001-19</t>
  </si>
  <si>
    <t>Auto Posto Ouro Preto LTDA</t>
  </si>
  <si>
    <t xml:space="preserve">Vila Trindade </t>
  </si>
  <si>
    <t>16.384.237/0001-53</t>
  </si>
  <si>
    <t>Auto Posto Magalhães LTDA</t>
  </si>
  <si>
    <t>Vila Santa Fé</t>
  </si>
  <si>
    <t>000171/2025-28</t>
  </si>
  <si>
    <t>14.737.889/0001-07</t>
  </si>
  <si>
    <t>Mateus Comércio de Peças e Serviços LTDA ME</t>
  </si>
  <si>
    <t>09.647.935/0001-39</t>
  </si>
  <si>
    <t>De Pneus Comércio LTDA</t>
  </si>
  <si>
    <t>09.647.935/0003-09</t>
  </si>
  <si>
    <t>05.025.652/0002-02</t>
  </si>
  <si>
    <t>Fênix Automóveis LTDA</t>
  </si>
  <si>
    <t>05.025.625/0009-89</t>
  </si>
  <si>
    <t>Alto Paraná</t>
  </si>
  <si>
    <t>R20201044</t>
  </si>
  <si>
    <t>05.025.625/0007-17</t>
  </si>
  <si>
    <t>14.036.628/0001-51</t>
  </si>
  <si>
    <t xml:space="preserve">Auto Posto Senna LTDA </t>
  </si>
  <si>
    <t>São João do Araguaia</t>
  </si>
  <si>
    <t>Combustivel</t>
  </si>
  <si>
    <t>53.208.704/0001-10</t>
  </si>
  <si>
    <t>Auto Posto Domar LTDA</t>
  </si>
  <si>
    <t>14.133.730/0015-70</t>
  </si>
  <si>
    <t>Santarém</t>
  </si>
  <si>
    <t xml:space="preserve">Esperança </t>
  </si>
  <si>
    <t>R20200000759</t>
  </si>
  <si>
    <t>01.219.219/0007-34</t>
  </si>
  <si>
    <t>07.805.488/0001-73</t>
  </si>
  <si>
    <t>Bonança Terraplanagem LTDA</t>
  </si>
  <si>
    <t>Extração de areia</t>
  </si>
  <si>
    <t>25020030160/2025</t>
  </si>
  <si>
    <t>06.775.522/0001-41</t>
  </si>
  <si>
    <t>Dismal Distribuidora Maranhense de Acumuladores Ltda</t>
  </si>
  <si>
    <t>São Luís</t>
  </si>
  <si>
    <t>São Bernardo</t>
  </si>
  <si>
    <t>Transporte de substâncias e produtos perigosos</t>
  </si>
  <si>
    <t>SEMA/MA</t>
  </si>
  <si>
    <t>120-26101.000529</t>
  </si>
  <si>
    <t>DISMAL Distribuidora Maranhense de Acumuladores Ltda</t>
  </si>
  <si>
    <t>SEMMAM</t>
  </si>
  <si>
    <t>45.937.632/0001-14</t>
  </si>
  <si>
    <t>Distribuidora Imperatriz de Baterias LTDA</t>
  </si>
  <si>
    <t>33.872.388/0001-70</t>
  </si>
  <si>
    <t>C Paula Comércio de Combustivel Eireli</t>
  </si>
  <si>
    <t>Vila Capistrano</t>
  </si>
  <si>
    <t>60.910.190/0001-06</t>
  </si>
  <si>
    <t xml:space="preserve">Titan Fuel Company Brazil LTDA </t>
  </si>
  <si>
    <t>Comércio de Combustivel</t>
  </si>
  <si>
    <t>07.897.481/0001-29</t>
  </si>
  <si>
    <t xml:space="preserve">Posto Gol LTDA </t>
  </si>
  <si>
    <t>08.890.160/0007-50</t>
  </si>
  <si>
    <t>Irmãos Diamantino Comércio de Veículos LTDA</t>
  </si>
  <si>
    <t>08.893.457/0006-99</t>
  </si>
  <si>
    <t>Diamantino e Cia LTDA</t>
  </si>
  <si>
    <t>R20226643</t>
  </si>
  <si>
    <t>08.893.457/0007-70</t>
  </si>
  <si>
    <t>40.070.881/0002-12</t>
  </si>
  <si>
    <t>Revemar Comércio e Distribuidora de Automóveis LTDA</t>
  </si>
  <si>
    <t>17.449.850/0002-55</t>
  </si>
  <si>
    <t>Amazon Comércio de Automóveis LTDA</t>
  </si>
  <si>
    <t>05.861.201/0001-05</t>
  </si>
  <si>
    <t xml:space="preserve">Guetner e Martins LTDA </t>
  </si>
  <si>
    <t>Posto de Combustivel</t>
  </si>
  <si>
    <t>37.880.832/0001-50</t>
  </si>
  <si>
    <t xml:space="preserve">C H Oliveira Cerâmica LTDA </t>
  </si>
  <si>
    <t>São Félix I</t>
  </si>
  <si>
    <t>Fabricação de artefatos de cerâmica</t>
  </si>
  <si>
    <t>25.033.773/0001-03</t>
  </si>
  <si>
    <t>Auto Posto WR LTDA</t>
  </si>
  <si>
    <t>Abel Figueiredo</t>
  </si>
  <si>
    <t>Bela Vista</t>
  </si>
  <si>
    <t>45.711.303/0001-50</t>
  </si>
  <si>
    <t xml:space="preserve">Abel Figueiredo </t>
  </si>
  <si>
    <t>SEMMAF</t>
  </si>
  <si>
    <t>35.610.162/0001-26</t>
  </si>
  <si>
    <t>São Pedro da Água Branca</t>
  </si>
  <si>
    <t>2020 </t>
  </si>
  <si>
    <t>40311/013898</t>
  </si>
  <si>
    <t>58.071.492/0001-96</t>
  </si>
  <si>
    <t xml:space="preserve">Auto Posto WR II Ltda </t>
  </si>
  <si>
    <t>40311/005725</t>
  </si>
  <si>
    <t>53.719.864/0001-24</t>
  </si>
  <si>
    <t>04.911.702/0003-40</t>
  </si>
  <si>
    <t>O Brasil Típico de Ponta a Ponta Ind. e Com. LTDA</t>
  </si>
  <si>
    <t>Piçarra</t>
  </si>
  <si>
    <t>08.981.853/0001-63</t>
  </si>
  <si>
    <t xml:space="preserve">Rosa e Borges LTDA ME </t>
  </si>
  <si>
    <t>Amazônia</t>
  </si>
  <si>
    <t>Transporte de Minério</t>
  </si>
  <si>
    <t>25.088.751/0001-35</t>
  </si>
  <si>
    <t xml:space="preserve">W. F. da Silva Comércio de Gás </t>
  </si>
  <si>
    <t>Distribuidora de Gas</t>
  </si>
  <si>
    <t>08.053.284/0001-36</t>
  </si>
  <si>
    <t>Marabá Distribuidora de Veículos LTDA</t>
  </si>
  <si>
    <t xml:space="preserve">Venda  de veículos </t>
  </si>
  <si>
    <t>17.048.388/0001-01</t>
  </si>
  <si>
    <t>Nacional Nova Marabá Distribuidora de Veículos LTDA</t>
  </si>
  <si>
    <t/>
  </si>
  <si>
    <t>41.166.135/0001-09</t>
  </si>
  <si>
    <t>N S Rodrigues Auto Posto Eireli</t>
  </si>
  <si>
    <t>Vila Cruzeiro do Sul</t>
  </si>
  <si>
    <t>Posto de Combustíveis</t>
  </si>
  <si>
    <t>13.145.851/0001-74</t>
  </si>
  <si>
    <t>Xingu Lácteos LTDA</t>
  </si>
  <si>
    <t>São Geraldo Araguaia</t>
  </si>
  <si>
    <t>Vila Novo Paráíso</t>
  </si>
  <si>
    <t>04.510.915/0001-06</t>
  </si>
  <si>
    <t>Indústria de Laticínios Ourilândia LTDA</t>
  </si>
  <si>
    <t>Ourilândia do Norte</t>
  </si>
  <si>
    <t>001.355/2025-13</t>
  </si>
  <si>
    <t xml:space="preserve">Mirante Empreendimentos Imobiliários LTDA (Flutuante) </t>
  </si>
  <si>
    <t>35.164.797/0001-47</t>
  </si>
  <si>
    <t xml:space="preserve">Auto Posto Itinga LTDA </t>
  </si>
  <si>
    <t>12.811.039/0001-78</t>
  </si>
  <si>
    <t>Auto Posto Nova Açailândia LTDA</t>
  </si>
  <si>
    <t>GETAT</t>
  </si>
  <si>
    <t>16.185.368/0001-49</t>
  </si>
  <si>
    <t>T &amp; S Comercial de Peças LTDA</t>
  </si>
  <si>
    <t>28.038.550/0001-19</t>
  </si>
  <si>
    <t>Itacaiúnas Comércio de Combustíveis Eireli</t>
  </si>
  <si>
    <t>Santa Fé</t>
  </si>
  <si>
    <t>29.497.817/0001-07</t>
  </si>
  <si>
    <t>Posto Avenida Belém LTDA</t>
  </si>
  <si>
    <t xml:space="preserve">Posto de combustível </t>
  </si>
  <si>
    <t>24.300.827/0001-89</t>
  </si>
  <si>
    <t xml:space="preserve">Super Posto Trevão LTDA </t>
  </si>
  <si>
    <t>Transporte de produtos Perigosos</t>
  </si>
  <si>
    <t>01.219.219/0001-49</t>
  </si>
  <si>
    <t>58.365.911/0001-00</t>
  </si>
  <si>
    <t xml:space="preserve">Auto Posto Rota 59 LTDA </t>
  </si>
  <si>
    <t xml:space="preserve">Auto Posto Curva LTDA </t>
  </si>
  <si>
    <t>Curva do S</t>
  </si>
  <si>
    <t>Comércio de Combustíveis Alex LTDA</t>
  </si>
  <si>
    <t>Vila Três Poderes</t>
  </si>
  <si>
    <t>37.497.562/0001-00</t>
  </si>
  <si>
    <t xml:space="preserve">Comércio de Combustível Alex 2 LTDA </t>
  </si>
  <si>
    <t>Vila Alto bonito</t>
  </si>
  <si>
    <t>39.272.432/0001-97</t>
  </si>
  <si>
    <t xml:space="preserve">Comércio de Combustível Alex 3 LTDA </t>
  </si>
  <si>
    <t>Serra Pelada</t>
  </si>
  <si>
    <t>12.933.200/0001-86</t>
  </si>
  <si>
    <t xml:space="preserve">Posto Tida LTDA EPP </t>
  </si>
  <si>
    <t>L202300010526</t>
  </si>
  <si>
    <t>07.986.911/0001-89</t>
  </si>
  <si>
    <t>L. de Oliveira de Jesus Eireli - Malta</t>
  </si>
  <si>
    <t>Beneficiamento de Leite</t>
  </si>
  <si>
    <t>50.030.474/0001-54</t>
  </si>
  <si>
    <t>Clínica Duarte e Coutinho LTDA</t>
  </si>
  <si>
    <t>Atividade médica</t>
  </si>
  <si>
    <t>001588/2025-16</t>
  </si>
  <si>
    <t>50.030.474/0001-55</t>
  </si>
  <si>
    <t>Clínica Duarte e Coutinho LTDA (NOVO)</t>
  </si>
  <si>
    <t>27.052.610/0001-95</t>
  </si>
  <si>
    <t>Distribuidora de Gás Guinhazi LTDA</t>
  </si>
  <si>
    <t>Comércio Varejista de Gás Liquefeito de Petróleo.</t>
  </si>
  <si>
    <t>000.640/2024-28</t>
  </si>
  <si>
    <t>323.820.360-15</t>
  </si>
  <si>
    <t>Paulo Solino Bracche (Flutuante)</t>
  </si>
  <si>
    <t xml:space="preserve">Beneficiamento de Leite </t>
  </si>
  <si>
    <t>20.611.472/0001-98</t>
  </si>
  <si>
    <t xml:space="preserve">P. S. Bracche &amp; Cia LTDA </t>
  </si>
  <si>
    <t xml:space="preserve">LI  </t>
  </si>
  <si>
    <t xml:space="preserve">Vencida </t>
  </si>
  <si>
    <t>30.813.744/0001-96</t>
  </si>
  <si>
    <t>J  A B de Souza Comércio de Usados LTDA</t>
  </si>
  <si>
    <t xml:space="preserve">SEMMA </t>
  </si>
  <si>
    <t xml:space="preserve">Válida  </t>
  </si>
  <si>
    <t>28.206.904/0001-97</t>
  </si>
  <si>
    <t>O. C. da Silva Comércio de Novos e Usados LTDA ME</t>
  </si>
  <si>
    <t xml:space="preserve">Indeterninada </t>
  </si>
  <si>
    <t>45.106.089/0001-03</t>
  </si>
  <si>
    <t>Paulista  Comércio de Auto Peças LTDA</t>
  </si>
  <si>
    <t>36.132.658/0001-02</t>
  </si>
  <si>
    <t>RMS Comércio de Peças e Serviços para Veículos LTDA</t>
  </si>
  <si>
    <t>20.390.520/0001-65</t>
  </si>
  <si>
    <t xml:space="preserve">C. M. Molare &amp; Cia LTDA EPP </t>
  </si>
  <si>
    <t>33.376.314/0001-42</t>
  </si>
  <si>
    <t>Abraão Fabricação de Laticínios Eireli</t>
  </si>
  <si>
    <t xml:space="preserve">Fabricação de laticínios </t>
  </si>
  <si>
    <t>05.894.596/0001-34</t>
  </si>
  <si>
    <t>H.W. Rosa Areial LTDA</t>
  </si>
  <si>
    <t>Extração de Areia</t>
  </si>
  <si>
    <t>05.894.596/0001-35</t>
  </si>
  <si>
    <t>Psicultura</t>
  </si>
  <si>
    <t>L2024151</t>
  </si>
  <si>
    <t>08.740.651/0001-20</t>
  </si>
  <si>
    <t>Ana Maria G. da C. Mota LTDA (Lo Fabricação)</t>
  </si>
  <si>
    <t xml:space="preserve">Eldorado dos Carajás </t>
  </si>
  <si>
    <t>Ponte em Corpo Hidrico</t>
  </si>
  <si>
    <t>L2025265</t>
  </si>
  <si>
    <t>Ana Maria G da C Mota ME (LO Ponte)</t>
  </si>
  <si>
    <t>Extração de Argila</t>
  </si>
  <si>
    <t>Ana Maria G da C Mota ME (LO Extração)</t>
  </si>
  <si>
    <t>Fabricão de material cerâmico</t>
  </si>
  <si>
    <t>Ana Maria G da C Mota ME</t>
  </si>
  <si>
    <t xml:space="preserve">LO  </t>
  </si>
  <si>
    <t>Extração de argila</t>
  </si>
  <si>
    <t>05.340.297/0001-58</t>
  </si>
  <si>
    <t xml:space="preserve">Cerâmica Castanheira e Transportes LTDA </t>
  </si>
  <si>
    <t>Castanheira Cerâmica e Transportes LTDA</t>
  </si>
  <si>
    <t>Roxo</t>
  </si>
  <si>
    <t>07.064.237/0001-85</t>
  </si>
  <si>
    <t>GM Auto Posto Comércio de Combustíveis</t>
  </si>
  <si>
    <t>13.145.851/0003-36</t>
  </si>
  <si>
    <t>12.501.269/0001-30</t>
  </si>
  <si>
    <t>Auto Posto Dois Irmãos Ltda</t>
  </si>
  <si>
    <t>Extração de Areia e Argila</t>
  </si>
  <si>
    <t>03.738.205/0002-49</t>
  </si>
  <si>
    <t>05.100.432/0001-98</t>
  </si>
  <si>
    <t>Paulo André C. Moreira ME</t>
  </si>
  <si>
    <t>Extração</t>
  </si>
  <si>
    <t xml:space="preserve">Produção cerâmica </t>
  </si>
  <si>
    <t>14.378.618/0001-02</t>
  </si>
  <si>
    <t>Posto Santa Clara do Rio Araguaia LTDA</t>
  </si>
  <si>
    <t>Palestina do Pará</t>
  </si>
  <si>
    <t>SEMMAS</t>
  </si>
  <si>
    <t>33.090.068/0001-68</t>
  </si>
  <si>
    <t>Norte Locações LTDA</t>
  </si>
  <si>
    <t>000.477/2025-84</t>
  </si>
  <si>
    <t>33.171.819/0001-70</t>
  </si>
  <si>
    <t>52.317.978/0001-85</t>
  </si>
  <si>
    <t>Revegás Comércio Varejista de Gás LTDA</t>
  </si>
  <si>
    <t>Multirão</t>
  </si>
  <si>
    <t>000.104/2024-22</t>
  </si>
  <si>
    <t>fabrica de Cerâmica</t>
  </si>
  <si>
    <t>15.812.085/0001-80</t>
  </si>
  <si>
    <t xml:space="preserve">Condomínio Portal da Orla </t>
  </si>
  <si>
    <t>46.887.736/0001-24</t>
  </si>
  <si>
    <t xml:space="preserve">Posto Três Irmãos LTDA </t>
  </si>
  <si>
    <t xml:space="preserve">Industrial </t>
  </si>
  <si>
    <t>050505138.000811/2025-08</t>
  </si>
  <si>
    <t>42.166.026/0001-54</t>
  </si>
  <si>
    <t>O. J. Silva Extração e Beneficiamento LTDA</t>
  </si>
  <si>
    <t>Extração Cascalho</t>
  </si>
  <si>
    <t>27.694.440/0001-42</t>
  </si>
  <si>
    <t>V. O. Silva Materiais de Construção</t>
  </si>
  <si>
    <t>Bom Jesus Tocantins</t>
  </si>
  <si>
    <t>Extração de Minérios</t>
  </si>
  <si>
    <t>42.553.557/0001-08</t>
  </si>
  <si>
    <t>Marabá Distribuidora de Baterias LTDA</t>
  </si>
  <si>
    <t>SEMAS/PA</t>
  </si>
  <si>
    <t>47.480.889/0001-15</t>
  </si>
  <si>
    <t>Macapá Distribuidora de Baterias LTDA</t>
  </si>
  <si>
    <t>Macapá</t>
  </si>
  <si>
    <t xml:space="preserve">Santa Rita </t>
  </si>
  <si>
    <t>SEMA/AP</t>
  </si>
  <si>
    <t>05.725.796/0001-63</t>
  </si>
  <si>
    <t xml:space="preserve">Ceril Cerâmica Itapuan LTDA </t>
  </si>
  <si>
    <t>Fabricação de Tijolos</t>
  </si>
  <si>
    <t>39.329.902/0001-41</t>
  </si>
  <si>
    <t>C dos S Gonçalves LTDA</t>
  </si>
  <si>
    <t>Miranda</t>
  </si>
  <si>
    <t>Fabricação de Móveis com Predominancia em Madeira</t>
  </si>
  <si>
    <t>33.090.721/0017-56</t>
  </si>
  <si>
    <t>G C M Comércio de Lubrificantes LTDA</t>
  </si>
  <si>
    <t>Comércio de lubrificantes</t>
  </si>
  <si>
    <t>19.834.208/0002-15</t>
  </si>
  <si>
    <t>Comercial Jerusalém LTDA</t>
  </si>
  <si>
    <t>Vila União</t>
  </si>
  <si>
    <t>PARADO</t>
  </si>
  <si>
    <t>39.723.244/0003-66</t>
  </si>
  <si>
    <t>J S Construtora e Mineradora  Eireli</t>
  </si>
  <si>
    <t>63.589.448/0001-02</t>
  </si>
  <si>
    <t>Posto São Francisco Ltda - Rede Z+Z</t>
  </si>
  <si>
    <t>L202400000384</t>
  </si>
  <si>
    <t>08.713.905/0001-10</t>
  </si>
  <si>
    <t xml:space="preserve">Petro Center Comércio Derivados de Petróleo LTDA </t>
  </si>
  <si>
    <t>L202400000349</t>
  </si>
  <si>
    <t>27.262.701/0001-55</t>
  </si>
  <si>
    <t xml:space="preserve">Petrocem Comércio e Transportes de Combustíveis </t>
  </si>
  <si>
    <t xml:space="preserve">Posto de Combustível </t>
  </si>
  <si>
    <t>08.713.905/0002-00</t>
  </si>
  <si>
    <t>Petrocenter Comércio Derivados de Petróleo LTDA</t>
  </si>
  <si>
    <t>Santana do Araguaia</t>
  </si>
  <si>
    <t>L202300000627</t>
  </si>
  <si>
    <t>40.221.039/0001-53</t>
  </si>
  <si>
    <t xml:space="preserve">Petrocom Comércio Derivados de Petróleo LTDA </t>
  </si>
  <si>
    <t>Eldorado dos Carajás -Vila Tracredo Neves</t>
  </si>
  <si>
    <t>40.221.039/0002-34</t>
  </si>
  <si>
    <t xml:space="preserve">Petrocom Comércio Derivados de Comb. de Petróleo LTDA </t>
  </si>
  <si>
    <t>Itaituba</t>
  </si>
  <si>
    <t>Rock in Rio</t>
  </si>
  <si>
    <t>Indústria de Laticínio</t>
  </si>
  <si>
    <t>278.920.772-00</t>
  </si>
  <si>
    <t>Marcelo Rogério Neris</t>
  </si>
  <si>
    <t>Extração de Cascalho e Argila</t>
  </si>
  <si>
    <t>000424/2025-63</t>
  </si>
  <si>
    <t>278.920.772-01</t>
  </si>
  <si>
    <t>42.722.591/0004-01</t>
  </si>
  <si>
    <t>Dom Eliseu Comércio Varejista de Gás Eireli</t>
  </si>
  <si>
    <t>42.722.591/0001-50</t>
  </si>
  <si>
    <t xml:space="preserve">Dom Eliseu </t>
  </si>
  <si>
    <t>242/2024</t>
  </si>
  <si>
    <t>42.722.591/0003-12</t>
  </si>
  <si>
    <t>Ulianópolis</t>
  </si>
  <si>
    <t>Resende II</t>
  </si>
  <si>
    <t>05.023.528/0005-23</t>
  </si>
  <si>
    <t>Transportadora Patriarca LTDA</t>
  </si>
  <si>
    <t>05.023.528/0004-42</t>
  </si>
  <si>
    <t>R96924</t>
  </si>
  <si>
    <t>28.010.059/0001-80</t>
  </si>
  <si>
    <t>Posto Vitória LTDA</t>
  </si>
  <si>
    <t>07.234.517/0003-56</t>
  </si>
  <si>
    <t>Auto Posto Frizeirão LTDA</t>
  </si>
  <si>
    <t>14.996.274/0001-97</t>
  </si>
  <si>
    <t>M P Martins Locações e Serviços LTDA</t>
  </si>
  <si>
    <t>Parque dos Carajás</t>
  </si>
  <si>
    <t>Transporte de produtos perigosos</t>
  </si>
  <si>
    <t>2025SM3927</t>
  </si>
  <si>
    <t>83.324.921/0001-37</t>
  </si>
  <si>
    <t>Super Posto Dois Mil LTDA</t>
  </si>
  <si>
    <t xml:space="preserve">São João </t>
  </si>
  <si>
    <t>04.305.405/0001-99</t>
  </si>
  <si>
    <t>Posto Goiabeira LTDA</t>
  </si>
  <si>
    <t>Aurora do Pará</t>
  </si>
  <si>
    <t>05.014.246/0001-36</t>
  </si>
  <si>
    <t>Auto Posto Parasão LTDA</t>
  </si>
  <si>
    <t>84.146.638/0001-25</t>
  </si>
  <si>
    <t>Posto Cavalo de Aço LTDA</t>
  </si>
  <si>
    <t xml:space="preserve"> 29/10/2025</t>
  </si>
  <si>
    <t>63.842.801/0001-14</t>
  </si>
  <si>
    <t>Super Posto Pioneiro LTDA</t>
  </si>
  <si>
    <t>05.458.900/0001-09</t>
  </si>
  <si>
    <t>Auto Posto Tourão LTDA</t>
  </si>
  <si>
    <t>Industrial</t>
  </si>
  <si>
    <t>000.159/2024-32</t>
  </si>
  <si>
    <t>24.929.776/0001-59</t>
  </si>
  <si>
    <t>Eduardo da Conceição dos Santos (Lava Jato Minas Gerais)</t>
  </si>
  <si>
    <t>06.928.571/0001-77</t>
  </si>
  <si>
    <t>WPP Comércio de Motos LTDA</t>
  </si>
  <si>
    <t xml:space="preserve">Salinópolis </t>
  </si>
  <si>
    <t>Ponta da Agulha</t>
  </si>
  <si>
    <t>000.716/2024-15</t>
  </si>
  <si>
    <t>55.645.757/0001-24</t>
  </si>
  <si>
    <t>GT Fire Consultoria e Servços LTDA</t>
  </si>
  <si>
    <t>SEMNMA</t>
  </si>
  <si>
    <t>13.549.336/0001-50</t>
  </si>
  <si>
    <t>Cerâmica Ideal LC LTDA ME (Extração)</t>
  </si>
  <si>
    <t>Setor Industrial</t>
  </si>
  <si>
    <t>13.549.336/0001-51</t>
  </si>
  <si>
    <t>Cerâmica Ideal LC LTDA ME (Fabricação)</t>
  </si>
  <si>
    <t>A. T. Leite Com. Varejista de Combustíveis LTDA</t>
  </si>
  <si>
    <t>Vila Sororó</t>
  </si>
  <si>
    <t>43.978.229/0001-08</t>
  </si>
  <si>
    <t>Imperial Combustíveis LTDA</t>
  </si>
  <si>
    <t>Vitória da Conquista</t>
  </si>
  <si>
    <t>749.131.153-91</t>
  </si>
  <si>
    <t xml:space="preserve">Suelmar Herênio Martins </t>
  </si>
  <si>
    <t>51.862.001/0001-02</t>
  </si>
  <si>
    <t>Cerâmica Carajás Indústria e Comércio LTDA</t>
  </si>
  <si>
    <t>L202400000389</t>
  </si>
  <si>
    <t>14.442.534/0001-82</t>
  </si>
  <si>
    <t>Cerâmica Rio do Vale LTDA</t>
  </si>
  <si>
    <t xml:space="preserve">Zona  Rural </t>
  </si>
  <si>
    <t>34.074.424/0001-12</t>
  </si>
  <si>
    <t>Ouro Preto Comércio de Combustível Eireli</t>
  </si>
  <si>
    <t>14.312.055/0001-41</t>
  </si>
  <si>
    <t>Auto Posto Pará Sul Com. de Combustíveis LTDA</t>
  </si>
  <si>
    <t>São Félix do Xingu</t>
  </si>
  <si>
    <t>000.651/2024-16</t>
  </si>
  <si>
    <t>19.061.921/0001-92</t>
  </si>
  <si>
    <t>Luciene de C.Marinho Comércio de Gás (Marinho Gás)</t>
  </si>
  <si>
    <t>000.654/2024-41</t>
  </si>
  <si>
    <t>25.054.492/0001-29</t>
  </si>
  <si>
    <t>BORGES E MARINHO LTDA</t>
  </si>
  <si>
    <t xml:space="preserve">Bom Planalto </t>
  </si>
  <si>
    <t>2025/012</t>
  </si>
  <si>
    <t>19.001.972/0001-29</t>
  </si>
  <si>
    <t>Formaggio Laticínios Eireli</t>
  </si>
  <si>
    <t>55.334.461/0001-92</t>
  </si>
  <si>
    <t>MGO &amp; EG Comércio de Minérios LTDA (LO Pátio)</t>
  </si>
  <si>
    <t>MGO &amp; EG Comércio de Minérios LTDA (LO Beneficiamento)</t>
  </si>
  <si>
    <t>34.308.918/0001-14</t>
  </si>
  <si>
    <t>Posto Santa Edwiges LTDA</t>
  </si>
  <si>
    <t>10.528.755/0001-17</t>
  </si>
  <si>
    <t>D Bens Administradora de Bens e Ativos LTDA</t>
  </si>
  <si>
    <t>33.626.638/0001-91</t>
  </si>
  <si>
    <t>Indústria de Gás New Eireli</t>
  </si>
  <si>
    <t>15.659.254/0001-93</t>
  </si>
  <si>
    <t>Raydon Alves da Costa &amp; Cia LTDA EPP</t>
  </si>
  <si>
    <t>25.044.697/0001-23</t>
  </si>
  <si>
    <t>R G Pinto Indústria e Comércio Eireli - POP FRUTI</t>
  </si>
  <si>
    <t>09.576.614/0001-90</t>
  </si>
  <si>
    <t>23 Batalhão Logístico de Selva</t>
  </si>
  <si>
    <t>41.640.802/0001-43</t>
  </si>
  <si>
    <t xml:space="preserve">Auto Posto Brail Comércio de Combustível Eireli </t>
  </si>
  <si>
    <t>2024/27565</t>
  </si>
  <si>
    <t>07.234.517/0001-94</t>
  </si>
  <si>
    <t>Auto Posto Frizeirão Ltda</t>
  </si>
  <si>
    <t>04.742.466/0001-13</t>
  </si>
  <si>
    <t>Distribuidora Paraense Baterias e Acessórios LTDA</t>
  </si>
  <si>
    <t>Perebebui</t>
  </si>
  <si>
    <t>36.090.328/0001-93</t>
  </si>
  <si>
    <t>Auto Posto Goianésia LTDA</t>
  </si>
  <si>
    <t>19.639.539/0001-13</t>
  </si>
  <si>
    <t>Posto Cantão Combustíveis LTDA</t>
  </si>
  <si>
    <t>01.580.920/0001-99</t>
  </si>
  <si>
    <t>Vyva Agronegócio LTDA</t>
  </si>
  <si>
    <t>29.803.165/0001-83</t>
  </si>
  <si>
    <t>Parmaggio Laticínio e Frios LTDA</t>
  </si>
  <si>
    <t>000.999/2025-86</t>
  </si>
  <si>
    <t>05.403.409/0001-72</t>
  </si>
  <si>
    <t>Construtora  JK LTDA</t>
  </si>
  <si>
    <t>14.087.165/0002-38</t>
  </si>
  <si>
    <t>L.C. Combustíveis LTDA</t>
  </si>
  <si>
    <t>83.653.709/0001-13</t>
  </si>
  <si>
    <t>Auto Posto Palestina LTDA</t>
  </si>
  <si>
    <t>53.168.404/0001-55</t>
  </si>
  <si>
    <t>Posto Alex Laranjeiras LTDA</t>
  </si>
  <si>
    <t>08.267.784/0001-20</t>
  </si>
  <si>
    <t>TRR Transporte e Com. de Combustível Dom Eliseu</t>
  </si>
  <si>
    <t>01.286.739/0001-74</t>
  </si>
  <si>
    <t>Auto Posto Itinga II LTDA</t>
  </si>
  <si>
    <t>37.900.975/0001-86</t>
  </si>
  <si>
    <t>JJ Construtora e Incorporadora LTDA</t>
  </si>
  <si>
    <t>Petro Center Comércio Derivados de Petróleo LTDA</t>
  </si>
  <si>
    <t>Petrocem Comércio e Transportes de Combustíveis</t>
  </si>
  <si>
    <t>001.069/2025-40</t>
  </si>
  <si>
    <t>58,719..275/0002-40</t>
  </si>
  <si>
    <t>AMS Indústria e Comércio de Metais LTDA</t>
  </si>
  <si>
    <t>05.340.297/0001-59</t>
  </si>
  <si>
    <t>Beneficiamento de argila</t>
  </si>
  <si>
    <t>17.1645.435/0001-74</t>
  </si>
  <si>
    <t>Empresa Construtora Brasil S.A.</t>
  </si>
  <si>
    <t>22.808.569/0001-10</t>
  </si>
  <si>
    <t xml:space="preserve">Antares Administração de Bens Próprios e Participações </t>
  </si>
  <si>
    <t>22.808.569/0001-11</t>
  </si>
  <si>
    <t>L202400000166</t>
  </si>
  <si>
    <t>07.011.010/0001-71</t>
  </si>
  <si>
    <t>F B Locação de Máquinas e Serviços LTDA</t>
  </si>
  <si>
    <t>01.062.089/0001-83</t>
  </si>
  <si>
    <t>R B Aguiar &amp; Cia LTDA</t>
  </si>
  <si>
    <t>04.384.239/0001-63</t>
  </si>
  <si>
    <t>Auto  Posto Mogno Jacundá LTDA</t>
  </si>
  <si>
    <t>15.204.568/0001-00</t>
  </si>
  <si>
    <t>Construtora Machado Alves LTDA</t>
  </si>
  <si>
    <t>53.912.064/0001-25</t>
  </si>
  <si>
    <t>MR Cerâmica LTDA (Fabricação)</t>
  </si>
  <si>
    <t xml:space="preserve">Jardim União </t>
  </si>
  <si>
    <t>13.538.260/0001-67</t>
  </si>
  <si>
    <t>Cerâmica BBL LTDA (Licença Prefeito)</t>
  </si>
  <si>
    <t>Cerâmica BBL LTDA (LO)</t>
  </si>
  <si>
    <t>32.564.159/0001-25</t>
  </si>
  <si>
    <t>RU cardan Peças e Serviços Automotivos LTDA</t>
  </si>
  <si>
    <t>44.609.340/0002-70</t>
  </si>
  <si>
    <t>Centro Posto LTDA</t>
  </si>
  <si>
    <t>Residencial Atlanta</t>
  </si>
  <si>
    <t>44.609.340/0001-90</t>
  </si>
  <si>
    <t>000134/2025-10</t>
  </si>
  <si>
    <t>56.264.668/0001-09</t>
  </si>
  <si>
    <t>L. C. Marinho Casa de Shows Ltda (Vegas Show)</t>
  </si>
  <si>
    <t>30441/2024</t>
  </si>
  <si>
    <t>46.127.182/0001-67</t>
  </si>
  <si>
    <t xml:space="preserve">Revemar Norte Comércio de Automóveis LTDA </t>
  </si>
  <si>
    <t>Manaus</t>
  </si>
  <si>
    <t>IPAAN</t>
  </si>
  <si>
    <t>001.242/2025-18</t>
  </si>
  <si>
    <t>10.452.564/0001-19</t>
  </si>
  <si>
    <t>Mutran Administração de Bens LTDA</t>
  </si>
  <si>
    <t>001.781/2025-49</t>
  </si>
  <si>
    <t>31.175.229/0001-90</t>
  </si>
  <si>
    <t>Flor de Minas Empreendimentos e Participações LTDA</t>
  </si>
  <si>
    <t>000.151/2025-57</t>
  </si>
  <si>
    <t>22.338.136/0001-49</t>
  </si>
  <si>
    <t>GUARANNY GENEROS ALIMENTICIOS LTDA</t>
  </si>
  <si>
    <t>000.592/2024-78</t>
  </si>
  <si>
    <t>Mirante Empreendimntos Imobiliários LTDA (Mirante Towers)</t>
  </si>
  <si>
    <t>L202500000601</t>
  </si>
  <si>
    <t>13.215.054/0001-16</t>
  </si>
  <si>
    <t>Cooperativa dos Garimpeiros de Novo Horizonte</t>
  </si>
  <si>
    <t>Verde</t>
  </si>
  <si>
    <t>Outorga</t>
  </si>
  <si>
    <t>Captação de Água Subterranea</t>
  </si>
  <si>
    <t>verde</t>
  </si>
  <si>
    <t>Captação de Agua Subterranea</t>
  </si>
  <si>
    <t xml:space="preserve">Outorga </t>
  </si>
  <si>
    <t>Cônego B. Campos</t>
  </si>
  <si>
    <t>Pedreira</t>
  </si>
  <si>
    <t>Padre Luiz</t>
  </si>
  <si>
    <t>03.995.515/0146-21</t>
  </si>
  <si>
    <t>03-995.515/0090-32</t>
  </si>
  <si>
    <t>Captação de agua subterranea</t>
  </si>
  <si>
    <t>816/2025</t>
  </si>
  <si>
    <t>000445/2025</t>
  </si>
  <si>
    <t>Uriboca</t>
  </si>
  <si>
    <t>104.241.721-00</t>
  </si>
  <si>
    <t xml:space="preserve">Danubio Francisco Martins Ferreira </t>
  </si>
  <si>
    <t>38.023.637/0001-76</t>
  </si>
  <si>
    <t>Cerâmica Itabaiana LTDA</t>
  </si>
  <si>
    <t>Condomínio Portal da Orla</t>
  </si>
  <si>
    <t>000.202</t>
  </si>
  <si>
    <t>000.653</t>
  </si>
  <si>
    <t>000.539/2025</t>
  </si>
  <si>
    <t>Canteiro de Obras</t>
  </si>
  <si>
    <t>000671/2025</t>
  </si>
  <si>
    <t>75.315.333/0200-54</t>
  </si>
  <si>
    <t xml:space="preserve">Dispensa </t>
  </si>
  <si>
    <t>Condomínio Mirante do Vale (Poço 01 )</t>
  </si>
  <si>
    <t xml:space="preserve">Laticínios Q Vida Eireli </t>
  </si>
  <si>
    <t>KM180</t>
  </si>
  <si>
    <t>Rodobens Veículos Comerciais Cirasa S.A.</t>
  </si>
  <si>
    <t>44.128.527/0001-71</t>
  </si>
  <si>
    <t>000.529</t>
  </si>
  <si>
    <t>14.133.730/004-18</t>
  </si>
  <si>
    <t>Manuntenção e reParáção veículos</t>
  </si>
  <si>
    <t xml:space="preserve">Santarém </t>
  </si>
  <si>
    <t>Cento</t>
  </si>
  <si>
    <t>Captação de água Subterranea</t>
  </si>
  <si>
    <t>16.384.237/0001-54</t>
  </si>
  <si>
    <t>Auto Posto  Magalhães LTDA</t>
  </si>
  <si>
    <t>28.860.289/0001-39</t>
  </si>
  <si>
    <t>Condomínio Mirante Boulevard SPE LTDA (Poço)</t>
  </si>
  <si>
    <t>28.860.289/0001-439</t>
  </si>
  <si>
    <t>Condomínio Mirante Boulevard SPE LTDA (Lançamento)</t>
  </si>
  <si>
    <t>12.021.777/0001-12</t>
  </si>
  <si>
    <t>05.023.528/0001-08</t>
  </si>
  <si>
    <t>L. de Oliveira de Jesus Eireli</t>
  </si>
  <si>
    <t>05.025.625/0002-02</t>
  </si>
  <si>
    <t>Laticínios Seletto LTDA - Gran Seletto</t>
  </si>
  <si>
    <t>C N A - Comércio Nacional de Alimentos Eireli - CNA</t>
  </si>
  <si>
    <t>000.919/2025</t>
  </si>
  <si>
    <t>Marabá Gelo Eireli</t>
  </si>
  <si>
    <t>000.787</t>
  </si>
  <si>
    <t>Auto Posto Pará Sul Com. De Combustível LTDA</t>
  </si>
  <si>
    <t>L V do Nascimento Cerâmica ME</t>
  </si>
  <si>
    <t>C H Oliveira Cerâmica LTDA</t>
  </si>
  <si>
    <t>001428/2025</t>
  </si>
  <si>
    <t>O Brasil Típico de Ponta a Ponta Indústria e Comércio LTDA (Sertanorte)</t>
  </si>
  <si>
    <t xml:space="preserve">São Geraldo do Araguaia </t>
  </si>
  <si>
    <t>13.145.851/0002-55</t>
  </si>
  <si>
    <t>04.510.915/0001-07</t>
  </si>
  <si>
    <t>Formagio Laticínios Eireli</t>
  </si>
  <si>
    <t>0112/2026</t>
  </si>
  <si>
    <t>01.286.739/0001-75</t>
  </si>
  <si>
    <t>000.370</t>
  </si>
  <si>
    <t>Captaçãop da agua subterranea</t>
  </si>
  <si>
    <t xml:space="preserve">Folha Industrial </t>
  </si>
  <si>
    <t xml:space="preserve"> 13.608.538/0001-25</t>
  </si>
  <si>
    <t xml:space="preserve">Auto Posto Folha 23 LTDA </t>
  </si>
  <si>
    <t>Jardim Vitória</t>
  </si>
  <si>
    <t>000.939</t>
  </si>
  <si>
    <t>83.593.590/0001-30</t>
  </si>
  <si>
    <t>Nutrição do Norte LTDA</t>
  </si>
  <si>
    <t>Metais</t>
  </si>
  <si>
    <t>39.329.902/0001-01</t>
  </si>
  <si>
    <t>C. dos S Gonçalves LTDA</t>
  </si>
  <si>
    <t>000. 596</t>
  </si>
  <si>
    <t>Imperial Comércio de Combustíveis LTDA</t>
  </si>
  <si>
    <t xml:space="preserve">Centro Posto LTDA </t>
  </si>
  <si>
    <t>DESISTÊNCIA</t>
  </si>
  <si>
    <t xml:space="preserve">Lançamento </t>
  </si>
  <si>
    <t>27.352.414/0019-65</t>
  </si>
  <si>
    <t>Mateus supermercados S.A.</t>
  </si>
  <si>
    <t>São João</t>
  </si>
  <si>
    <t>000.387</t>
  </si>
  <si>
    <t>Auto Posto Tracy Anne LTDA</t>
  </si>
  <si>
    <t>Araguatins</t>
  </si>
  <si>
    <t>Augustinópolis</t>
  </si>
  <si>
    <t>Condomínio Mirante Riviera (Poços 01 e 02)</t>
  </si>
  <si>
    <t>003973/2025</t>
  </si>
  <si>
    <t>47.103.712/0001-09</t>
  </si>
  <si>
    <t>Condomínio Mirante Riviera (Poço 03)</t>
  </si>
  <si>
    <t>Mirante Empreendimentos Imobiliários LTDA (Ville)</t>
  </si>
  <si>
    <t>Indústria e Comércio de Laticínios Ourilândia LTDA</t>
  </si>
  <si>
    <t>Ana Maria G. da C. Mota LTDA</t>
  </si>
  <si>
    <t>S. M. da Conquista</t>
  </si>
  <si>
    <t>Condomínio Mirante Village</t>
  </si>
  <si>
    <t>000.508</t>
  </si>
  <si>
    <t>Paraupebas</t>
  </si>
  <si>
    <t>Gleba Taboca</t>
  </si>
  <si>
    <t>Preventiva</t>
  </si>
  <si>
    <t>000.425</t>
  </si>
  <si>
    <t>Condomínio Mirante da Serra 2</t>
  </si>
  <si>
    <t>40.553.645/001-76</t>
  </si>
  <si>
    <t xml:space="preserve">A T Leite Comércio de Combustíveis Eireli </t>
  </si>
  <si>
    <t>23.439.441/0034-58</t>
  </si>
  <si>
    <t>Armazém Mateus S.A</t>
  </si>
  <si>
    <t>03.895.515/0092-02</t>
  </si>
  <si>
    <t>27.352.414/0040-42</t>
  </si>
  <si>
    <t>27.352.414/0024-22</t>
  </si>
  <si>
    <t>30/03/2026</t>
  </si>
  <si>
    <t>23.439.441/0023-03</t>
  </si>
  <si>
    <t>Benevides</t>
  </si>
  <si>
    <t>Cajueiro</t>
  </si>
  <si>
    <t xml:space="preserve"> Outorga</t>
  </si>
  <si>
    <t>26/09/2026</t>
  </si>
  <si>
    <t>Rd PA 160</t>
  </si>
  <si>
    <t>Araripe</t>
  </si>
  <si>
    <t>23.439.441/0036-66</t>
  </si>
  <si>
    <t>27.352.414/0036-66</t>
  </si>
  <si>
    <t>Tomé-Açu</t>
  </si>
  <si>
    <t>Quatro bocas</t>
  </si>
  <si>
    <t>Posterus  Supermercados LTDA</t>
  </si>
  <si>
    <t>Jardim Paráiso</t>
  </si>
  <si>
    <t>005139/2025</t>
  </si>
  <si>
    <t>Eletro</t>
  </si>
  <si>
    <t>Auto Posto Mogno Jacundá  LTDA</t>
  </si>
  <si>
    <t xml:space="preserve">Jacundá </t>
  </si>
  <si>
    <t>000.701</t>
  </si>
  <si>
    <t>03.995.515/0094-84</t>
  </si>
  <si>
    <t xml:space="preserve">Liberdade </t>
  </si>
  <si>
    <t>10.962.529/0001-40</t>
  </si>
  <si>
    <t>Calmap Indústria de Calcario LTDA (Poços 02 e 03)</t>
  </si>
  <si>
    <t>Calmap Indústria de Calcario LTDA (Poço 01)</t>
  </si>
  <si>
    <t>000.033</t>
  </si>
  <si>
    <t>Sãio João do Araguaia</t>
  </si>
  <si>
    <t>000.1320</t>
  </si>
  <si>
    <t>000.294</t>
  </si>
  <si>
    <t>26.090.328/0001-93</t>
  </si>
  <si>
    <t>000.114/2025</t>
  </si>
  <si>
    <t>MGO &amp; EG Comércio de Minérios LTDA</t>
  </si>
  <si>
    <t>000.3311/2025</t>
  </si>
  <si>
    <t>59.506.213/0004-85</t>
  </si>
  <si>
    <t xml:space="preserve">Consórcio Construtor Bloco Norte - CCBN </t>
  </si>
  <si>
    <t>005.414/2025</t>
  </si>
  <si>
    <t>Tercon Construções e Serviços LTDA</t>
  </si>
  <si>
    <t>005.470/2025</t>
  </si>
  <si>
    <t>29.314.576/0002-96</t>
  </si>
  <si>
    <t>Renovadora Paizão LTDA</t>
  </si>
  <si>
    <t>MR Cerâmica LTDA</t>
  </si>
  <si>
    <t>006457/2025</t>
  </si>
  <si>
    <t>62.331.630/0001-04</t>
  </si>
  <si>
    <t>MJG SERVICOS ESPECIALIZADOS EM SAUDE LTDA (Dispensa)</t>
  </si>
  <si>
    <t>MJ GSERVICOS ESPECIALIZADOS EM SAUDE LTDA (Preventiva)</t>
  </si>
  <si>
    <t>H W Rosa Areial LTDA</t>
  </si>
  <si>
    <t>cinza</t>
  </si>
  <si>
    <t>ANM</t>
  </si>
  <si>
    <t>Ana Maria G da C da Mota ME</t>
  </si>
  <si>
    <t>Cinza</t>
  </si>
  <si>
    <t xml:space="preserve">Registro </t>
  </si>
  <si>
    <t>cInza</t>
  </si>
  <si>
    <t xml:space="preserve"> Castanheira Cerâmica e Transportes LTDA</t>
  </si>
  <si>
    <t>Estração de argila</t>
  </si>
  <si>
    <t>623.931.381-53</t>
  </si>
  <si>
    <t>Cerâmica Ideal LTDA ME (Luzimar Cavalcante de Souza)</t>
  </si>
  <si>
    <t>São Geraldo do Araguaia</t>
  </si>
  <si>
    <t>Suelmar Herênio Martins</t>
  </si>
  <si>
    <t>L. V. do Nascimento Cerâmica ME (Área 01)</t>
  </si>
  <si>
    <t>L. V. do Nascimento Cerâmica ME (Área 02)</t>
  </si>
  <si>
    <t>O J Silva Extração e Beneficiamento LTDA</t>
  </si>
  <si>
    <t>05.725.796/0001-64</t>
  </si>
  <si>
    <t xml:space="preserve">613.177.052-20 </t>
  </si>
  <si>
    <t>Silveirinha de Oliveira Silva</t>
  </si>
  <si>
    <t>V.O. Silva Materiais de Construção  LTDA</t>
  </si>
  <si>
    <t>427.148.261-73</t>
  </si>
  <si>
    <t>Luiz Hilário Ribeiro</t>
  </si>
  <si>
    <t>Bonfim/RR</t>
  </si>
  <si>
    <t>Gleba Tacutú</t>
  </si>
  <si>
    <t xml:space="preserve">Indeferido </t>
  </si>
  <si>
    <t>Cerâmica BBL LTDA</t>
  </si>
  <si>
    <t>Preta</t>
  </si>
  <si>
    <t>CEPROF</t>
  </si>
  <si>
    <t>Comércio de Madeira</t>
  </si>
  <si>
    <t>42.282.609/0001-90</t>
  </si>
  <si>
    <t>MM da Silva Serraria LTDA</t>
  </si>
  <si>
    <t>Ana Maria G da C Mota LTDA</t>
  </si>
  <si>
    <t xml:space="preserve">Cerâmica Itabaiana Eireli </t>
  </si>
  <si>
    <t>Fabricação de Material Cerâmico</t>
  </si>
  <si>
    <t>33.171.819/001-70</t>
  </si>
  <si>
    <t xml:space="preserve">L. V. do Nascimento Cerâmica </t>
  </si>
  <si>
    <t>Azul</t>
  </si>
  <si>
    <t xml:space="preserve">Finalizada </t>
  </si>
  <si>
    <t>264.208.542-04</t>
  </si>
  <si>
    <t>Odair José da Silva</t>
  </si>
  <si>
    <t>737.725.7772-53</t>
  </si>
  <si>
    <t xml:space="preserve">Joelson de Souza Barata </t>
  </si>
  <si>
    <t>LAR</t>
  </si>
  <si>
    <t>Piscicultura</t>
  </si>
  <si>
    <t>D Bens Administradora de Bens e Ativos S.A.</t>
  </si>
  <si>
    <t>Limpeza de área</t>
  </si>
  <si>
    <t>033.973.956-82</t>
  </si>
  <si>
    <t xml:space="preserve">Fazenda Recanto (João Alberto Gonçalves de Lima) </t>
  </si>
  <si>
    <t>Arquivado</t>
  </si>
  <si>
    <t>Santa Isabel do Pará</t>
  </si>
  <si>
    <t xml:space="preserve">Parque Verde </t>
  </si>
  <si>
    <t>ASV</t>
  </si>
  <si>
    <t>264.268.542-04</t>
  </si>
  <si>
    <t xml:space="preserve">Supressão </t>
  </si>
  <si>
    <t>713.817.752-68</t>
  </si>
  <si>
    <t>Fazenda Voltinha do Itacaiúnas (Marcos Antônio Soares)</t>
  </si>
  <si>
    <t>Bovinocultua</t>
  </si>
  <si>
    <t>966.539.302-20</t>
  </si>
  <si>
    <t xml:space="preserve">Fazneda JM (Joilson Gonçalves Pereira Carvalho) </t>
  </si>
  <si>
    <t>005.128.532-07</t>
  </si>
  <si>
    <t>Fazenda Meu Xodó I (Marian Andrade de Lima)</t>
  </si>
  <si>
    <t>Bovinocultura de Corte</t>
  </si>
  <si>
    <t>922.825.631-15</t>
  </si>
  <si>
    <t xml:space="preserve"> Fazenda Alta Floresta (Cláudio Cesar Barbosa)</t>
  </si>
  <si>
    <t>017.339.462-09</t>
  </si>
  <si>
    <t>Chácara Bom Sossego (Alessandro Vieira de Jesus)</t>
  </si>
  <si>
    <t>019.084.531-76</t>
  </si>
  <si>
    <t xml:space="preserve">Fazenda Meu Xodó II (Rafael Agra de Castro) </t>
  </si>
  <si>
    <t>447.032.954-15</t>
  </si>
  <si>
    <t>Fazenda Alvoredo (Getúlio Pereira de Azevedo)</t>
  </si>
  <si>
    <t>676.672.604-00</t>
  </si>
  <si>
    <t>Fazenda Alto Belo (Rosângela Santos da Nóbrega)</t>
  </si>
  <si>
    <t>369.347.364-91</t>
  </si>
  <si>
    <t>Fazenda Boa Sorte (Gorgônio Santos da Nóbrega)</t>
  </si>
  <si>
    <t>28.391.419/0001-05</t>
  </si>
  <si>
    <t>Fazenda Cascata (Fazenda Vale do Araguaia LTDA)</t>
  </si>
  <si>
    <t>420.489.747-91</t>
  </si>
  <si>
    <t>Fazenda Água Limpa (Saulo Eros da Costa)</t>
  </si>
  <si>
    <t>748.520.432-72</t>
  </si>
  <si>
    <t>Fazenda Muricirama I (Antônio Marcos Moraes Rosa)</t>
  </si>
  <si>
    <t>748.520.432-73</t>
  </si>
  <si>
    <t>Fazenda Muricirama III (Antônio Marcos Moraes Rosa)</t>
  </si>
  <si>
    <t>228.291.132-68</t>
  </si>
  <si>
    <t>Fazenda Novidade (Adail Jacó Ferreira)</t>
  </si>
  <si>
    <t>011.086.142-44</t>
  </si>
  <si>
    <t>Fazenda 2 Corações II (Daiane Gonçalves da Silva)</t>
  </si>
  <si>
    <t>378.030.267-53</t>
  </si>
  <si>
    <t>Fazenda Volta Grande (Angélica Rangel)</t>
  </si>
  <si>
    <t>029.110.141-09</t>
  </si>
  <si>
    <t>Fazenda Toca da Anta (Elias Júnior da Silva Santos)</t>
  </si>
  <si>
    <t>319.862.692-72</t>
  </si>
  <si>
    <t>Fazenda WHGM</t>
  </si>
  <si>
    <t>044.424.662-20</t>
  </si>
  <si>
    <t>Fazendas Serrana (Olindo Rodrigues da Silva)</t>
  </si>
  <si>
    <t>753.801.452-72</t>
  </si>
  <si>
    <t>Lazir Barbosa Ribeiro (Fazenda Nelore I)</t>
  </si>
  <si>
    <t>Lazir Barbosa Ribeiro (Fazenda Boca da Onça)</t>
  </si>
  <si>
    <t>040.504.051-68</t>
  </si>
  <si>
    <t>José Oliveira de Andrade (Fazenda Sereno)</t>
  </si>
  <si>
    <t>549.805.501-34</t>
  </si>
  <si>
    <t>Valdivino Rodrigues Chaveiro (Fazenda Cajazeiras)</t>
  </si>
  <si>
    <t xml:space="preserve">Itupiranga </t>
  </si>
  <si>
    <t>008.238.352-94</t>
  </si>
  <si>
    <t>Leandro Vieira de Jesus (Fazenda Terra do Campo)</t>
  </si>
  <si>
    <t>691.263.482-68</t>
  </si>
  <si>
    <t>Márcio Alexandre Costa (Fazenda Boa Vista)</t>
  </si>
  <si>
    <t>030.077.763-92</t>
  </si>
  <si>
    <t>Fazenda Boa Sorte  (Pabhola Souza de Carvalho)</t>
  </si>
  <si>
    <t>057.011.302-40</t>
  </si>
  <si>
    <t>Fazenda Produtiva (Matheus Cardoso Marques Ferreira)</t>
  </si>
  <si>
    <t>932.368.672-72</t>
  </si>
  <si>
    <t>Fazenda Aliança (Alex Mirodes da Silva)</t>
  </si>
  <si>
    <t>478.891.791-20</t>
  </si>
  <si>
    <t>Fazenda Boi Gordo (Cacildo Rodrigues de Oliveira)</t>
  </si>
  <si>
    <t>010.696.181-01</t>
  </si>
  <si>
    <t>Daglete Francisca de Rezende França (PA Palmares)</t>
  </si>
  <si>
    <t>262.105.332-72</t>
  </si>
  <si>
    <t>Francisco Oliveira de Souza (Fazenda Lagoa da Serra)</t>
  </si>
  <si>
    <t>512.970.002-34</t>
  </si>
  <si>
    <t>Andreia Lima dos Santos (Fazenda Vitória)</t>
  </si>
  <si>
    <t>207.020.603-30</t>
  </si>
  <si>
    <t>Antonio Carlos Caetano de Souza (Chácaara Dourado)</t>
  </si>
  <si>
    <t>300.436.542-15</t>
  </si>
  <si>
    <t>Aguinel Alves Sousa (Fazenda Asa Boi Forte)</t>
  </si>
  <si>
    <t>000568/2024-39</t>
  </si>
  <si>
    <t>000568/2024-40</t>
  </si>
  <si>
    <t>Mateus Supermercados S.A.(JK)</t>
  </si>
  <si>
    <t>091/2025</t>
  </si>
  <si>
    <t>960.678.451-72</t>
  </si>
  <si>
    <t>Fazenda Império do Boi (Marcos Alberto Pereira Santos)</t>
  </si>
  <si>
    <t>096/2025</t>
  </si>
  <si>
    <t>007.259.491-80</t>
  </si>
  <si>
    <t>Fazenda Império do Boi II (Cassio de Aguiar Concesso)</t>
  </si>
  <si>
    <t>099.431.658-55</t>
  </si>
  <si>
    <t>Munir Salmen (Fazenda Mactube)</t>
  </si>
  <si>
    <t>Nº do Proc.</t>
  </si>
  <si>
    <t>Nome Fantasia</t>
  </si>
  <si>
    <t>Tipo da Licença</t>
  </si>
  <si>
    <t>Atividade</t>
  </si>
  <si>
    <t>Satatus</t>
  </si>
  <si>
    <t>Data da Validade da licença</t>
  </si>
  <si>
    <t>Data para renovação</t>
  </si>
  <si>
    <t>OBS</t>
  </si>
  <si>
    <t>26.745.132/0001-36</t>
  </si>
  <si>
    <t xml:space="preserve">Carrocerias Bom Jesus Eireli </t>
  </si>
  <si>
    <t>Carrocerias Bom Jesus</t>
  </si>
  <si>
    <t>Fabricação</t>
  </si>
  <si>
    <t>894.094.342-20</t>
  </si>
  <si>
    <t>Gilmar Nascimento da Silva (Julenice)</t>
  </si>
  <si>
    <t>Fazenda Canaã II</t>
  </si>
  <si>
    <t>BR 222, km 66</t>
  </si>
  <si>
    <t>Bovinocultura</t>
  </si>
  <si>
    <t>19.141.980/0001-70</t>
  </si>
  <si>
    <t>Construtora Costa do Pará (Outorga Captação)</t>
  </si>
  <si>
    <t>...</t>
  </si>
  <si>
    <t>Canaã dos Carajas</t>
  </si>
  <si>
    <t>Serra Dourada</t>
  </si>
  <si>
    <t>Captação</t>
  </si>
  <si>
    <t>Construtora Costa (Outorga Lançamento</t>
  </si>
  <si>
    <t>....</t>
  </si>
  <si>
    <t>Lançamento</t>
  </si>
  <si>
    <t>14.334.634/0001-95</t>
  </si>
  <si>
    <t xml:space="preserve">V S Freitas e CIA LTDA </t>
  </si>
  <si>
    <t>Auto Posto Santa Maria</t>
  </si>
  <si>
    <t>Vila Tancredo Neves</t>
  </si>
  <si>
    <t>Transporte</t>
  </si>
  <si>
    <t>W Alencar Silveira Eireli</t>
  </si>
  <si>
    <t>Posto</t>
  </si>
  <si>
    <t>32.578.537/0001-20</t>
  </si>
  <si>
    <t>Speed Logística e Transporte de Cargas Eireli</t>
  </si>
  <si>
    <t>BR 155, km 93</t>
  </si>
  <si>
    <t>32.578.537/0001-21</t>
  </si>
  <si>
    <t>BR 155, km 94</t>
  </si>
  <si>
    <t>17.645.944/0001-19</t>
  </si>
  <si>
    <t xml:space="preserve">Areal Nazaré Material Basico para Construção LTDA- ME </t>
  </si>
  <si>
    <t>Areial Nazaré</t>
  </si>
  <si>
    <t>05.011.934/0003-04</t>
  </si>
  <si>
    <t xml:space="preserve">Construtora e Britagem Mil Anos LTDA </t>
  </si>
  <si>
    <t>Milanos</t>
  </si>
  <si>
    <t>Gleba 19</t>
  </si>
  <si>
    <t>Britador</t>
  </si>
  <si>
    <t>05.011.934/0003-05</t>
  </si>
  <si>
    <t>Gleba 20</t>
  </si>
  <si>
    <t>Extraçaõ</t>
  </si>
  <si>
    <t>Lic Pref.</t>
  </si>
  <si>
    <t>29.974.624/0001-91</t>
  </si>
  <si>
    <t>Karla Katariny Nitão Loureiro Benedito Gomes</t>
  </si>
  <si>
    <t xml:space="preserve">Adrenalina Hall </t>
  </si>
  <si>
    <t>Maraba</t>
  </si>
  <si>
    <t>Casa de Festa</t>
  </si>
  <si>
    <t>02.272.695/0001-96</t>
  </si>
  <si>
    <t>JAF Oliveira &amp; Filhos Ltda</t>
  </si>
  <si>
    <t xml:space="preserve">Hotel e Pousada Primor </t>
  </si>
  <si>
    <t>Hotel</t>
  </si>
  <si>
    <t>03.702.743/0001-00</t>
  </si>
  <si>
    <t>Rei Pisos Construções e Serviços LTDA</t>
  </si>
  <si>
    <t>Rei Pisos</t>
  </si>
  <si>
    <t>Serralheria</t>
  </si>
  <si>
    <t>09.139.140/0001-12</t>
  </si>
  <si>
    <t>Elba Empresa de Lácteos LTDA - EPP</t>
  </si>
  <si>
    <t>Elba Lacteos</t>
  </si>
  <si>
    <t>Loteamento UBA</t>
  </si>
  <si>
    <t>Laticineo</t>
  </si>
  <si>
    <t>07.768.387/0001-70</t>
  </si>
  <si>
    <t>Amazonas Milk Industria e Comércio de Laticínios LTDA - ME</t>
  </si>
  <si>
    <t>Amazonas Milk</t>
  </si>
  <si>
    <t>Vila São Pedro</t>
  </si>
  <si>
    <t>Poço</t>
  </si>
  <si>
    <t>28.958.431/0001-59</t>
  </si>
  <si>
    <t xml:space="preserve">Hidroponia Marabá LTDA </t>
  </si>
  <si>
    <t>Horticultura</t>
  </si>
  <si>
    <t>10.892.309/0001-97</t>
  </si>
  <si>
    <t>W J E da Costa e Cia LTDA-ME</t>
  </si>
  <si>
    <t>Auto Ar</t>
  </si>
  <si>
    <t>Comércio</t>
  </si>
  <si>
    <t>10-892.309/0001-78</t>
  </si>
  <si>
    <t xml:space="preserve">Araguaia </t>
  </si>
  <si>
    <t>D Bens Administradora de Bens Ativos LTDA</t>
  </si>
  <si>
    <t>km 7,5</t>
  </si>
  <si>
    <t>,,,</t>
  </si>
  <si>
    <t>PREF</t>
  </si>
  <si>
    <t>---------</t>
  </si>
  <si>
    <t>Não Encontrado</t>
  </si>
  <si>
    <t>83.907.428/0001-40</t>
  </si>
  <si>
    <t>Auto Posto Felizardo (LO Caminhão)</t>
  </si>
  <si>
    <t>Auto Posto Felizardo</t>
  </si>
  <si>
    <t>03.555.057/0001-45</t>
  </si>
  <si>
    <t>Construtora Fas LTDA</t>
  </si>
  <si>
    <t>Construtora Faz</t>
  </si>
  <si>
    <t>09.546.472/0001-19</t>
  </si>
  <si>
    <t xml:space="preserve">W B da Silva Combustíveis LTDA </t>
  </si>
  <si>
    <t>Comercial Jerusalem LTDA - EPP</t>
  </si>
  <si>
    <t>Posto JM</t>
  </si>
  <si>
    <t>19.834.208/0002-16</t>
  </si>
  <si>
    <t>Dispensa de Outorga</t>
  </si>
  <si>
    <t>63.827.059/0001-78</t>
  </si>
  <si>
    <t>Agropecuária Martins LTDA - ME</t>
  </si>
  <si>
    <t>Fazenda São João</t>
  </si>
  <si>
    <t>Vila Itainopolis</t>
  </si>
  <si>
    <t>63.827.059/0001-79</t>
  </si>
  <si>
    <t>DNPM</t>
  </si>
  <si>
    <t>04.742.466/0004-66</t>
  </si>
  <si>
    <t>Distribuidora Paraense de Baterias e Assessorios LTDA</t>
  </si>
  <si>
    <t>Moura Marabá (</t>
  </si>
  <si>
    <t xml:space="preserve">Vancini do Brasil Empreendimentos LTDA </t>
  </si>
  <si>
    <t>Fazenda Primavera</t>
  </si>
  <si>
    <t>Gleba do Geladinho</t>
  </si>
  <si>
    <t>LP LI LO</t>
  </si>
  <si>
    <t>09.139.140/0001-10</t>
  </si>
  <si>
    <t>35.196.765/0004-76</t>
  </si>
  <si>
    <t>Transul Serviços Locação e Transportes LTDA</t>
  </si>
  <si>
    <t>Transul</t>
  </si>
  <si>
    <t>08.949.580/0002-50</t>
  </si>
  <si>
    <t>BR 222, km 7,5</t>
  </si>
  <si>
    <t>33.025.517/0001-94</t>
  </si>
  <si>
    <t>L P L Beneficiamento de Minério EIRELI</t>
  </si>
  <si>
    <t>52.254.373/0001-85</t>
  </si>
  <si>
    <t>Natural Beneficiamento de inerios EIRELI</t>
  </si>
  <si>
    <t>Cerâmica BBL  LTDA EPP (Extração)</t>
  </si>
  <si>
    <t>Jardim União</t>
  </si>
  <si>
    <t>Cerâmica BBL LTDA - EPP (Fabricação)</t>
  </si>
  <si>
    <t>Constrrutora Zucatelli</t>
  </si>
  <si>
    <t>São Felix</t>
  </si>
  <si>
    <t>Usina asfalto</t>
  </si>
  <si>
    <t>10.640.657/0001-56</t>
  </si>
  <si>
    <t>JM Quadros Mutran ME</t>
  </si>
  <si>
    <t>LO/DNPM</t>
  </si>
  <si>
    <t>21.766.311/0001-36</t>
  </si>
  <si>
    <t>Cascadura Industrial Pará LTDA</t>
  </si>
  <si>
    <t>Usinagem</t>
  </si>
  <si>
    <t>09.430.929/0001-25</t>
  </si>
  <si>
    <t>Fênix Locação de Maquinas EIRELI</t>
  </si>
  <si>
    <t>Fenex Locaçãpo de Maquinas</t>
  </si>
  <si>
    <t>Aeroporto</t>
  </si>
  <si>
    <t>Garagem</t>
  </si>
  <si>
    <t>22.422.016/0001-25</t>
  </si>
  <si>
    <t>Comércio de Gás Sarandi Ltda</t>
  </si>
  <si>
    <t>Gás Sarandi</t>
  </si>
  <si>
    <t>Comércio de Gãs</t>
  </si>
  <si>
    <t>Jardim Coelhõo</t>
  </si>
  <si>
    <t>00/00/0000</t>
  </si>
  <si>
    <t>22.422.016/0003-97</t>
  </si>
  <si>
    <t>Residencial Tiradentes</t>
  </si>
  <si>
    <t>Comércio Gás</t>
  </si>
  <si>
    <t>09.139.140/0001-11</t>
  </si>
  <si>
    <t>-----------</t>
  </si>
  <si>
    <t>635.661.332-72</t>
  </si>
  <si>
    <t>Bethania Alves C. Quadros</t>
  </si>
  <si>
    <t>432.745.522-91</t>
  </si>
  <si>
    <t xml:space="preserve">Wilma Muller – Supressão Vegetal </t>
  </si>
  <si>
    <t>Agrópolis Incra</t>
  </si>
  <si>
    <t>08.053.284/0002-77</t>
  </si>
  <si>
    <t xml:space="preserve">Marabá Distribuidora Veículos LTDA </t>
  </si>
  <si>
    <t>Disbrava</t>
  </si>
  <si>
    <t>Distribuidora de veículos</t>
  </si>
  <si>
    <t>Hipólito Constâncio da Silva</t>
  </si>
  <si>
    <t>Rural</t>
  </si>
  <si>
    <t>923.318.401-30</t>
  </si>
  <si>
    <t xml:space="preserve">Manoel Geovan da Silva </t>
  </si>
  <si>
    <t>,...</t>
  </si>
  <si>
    <t>Vicinal do Limão</t>
  </si>
  <si>
    <t>823.390.581-04</t>
  </si>
  <si>
    <t xml:space="preserve">Maria Loris Vanda Nogueira </t>
  </si>
  <si>
    <t>Sitio Aguas Claras</t>
  </si>
  <si>
    <t>Sitio</t>
  </si>
  <si>
    <t xml:space="preserve">Mirante Empreendimentos Imobiliarios LTDA </t>
  </si>
  <si>
    <t>Portal da Serra</t>
  </si>
  <si>
    <t>Vale da Serra</t>
  </si>
  <si>
    <t>Lic Instalaçãp</t>
  </si>
  <si>
    <t>09.281.680/0001-33</t>
  </si>
  <si>
    <t>Laticínios Santa Clara LTDA - ME</t>
  </si>
  <si>
    <t>Laticineo Santa Clara</t>
  </si>
  <si>
    <t>São Domingos do Araguaia</t>
  </si>
  <si>
    <t>05.525.062/0001-32</t>
  </si>
  <si>
    <t>Mineradora 3 Fronteiras Extração e Exportação de Pedras e Minerais Ltda - EPP</t>
  </si>
  <si>
    <t>Mineradora Tres Fronteiras</t>
  </si>
  <si>
    <t>Apinajés</t>
  </si>
  <si>
    <t>05.525.062/0001-30</t>
  </si>
  <si>
    <t>Beneficiamento QTZ</t>
  </si>
  <si>
    <t>05.525.062/0001-31</t>
  </si>
  <si>
    <t>10.912.861/0001-08</t>
  </si>
  <si>
    <t xml:space="preserve">Souza e Freitas LTDA ME </t>
  </si>
  <si>
    <t>Carrocerias Jatobá</t>
  </si>
  <si>
    <t>PA 150 km 668</t>
  </si>
  <si>
    <t>08.866.964/0001-60</t>
  </si>
  <si>
    <t>Oliveira e Sá LTDA (Nailton)</t>
  </si>
  <si>
    <t>Nahylton Auto Center</t>
  </si>
  <si>
    <t>Folh 33</t>
  </si>
  <si>
    <t>Lo</t>
  </si>
  <si>
    <t>025.767.299-08</t>
  </si>
  <si>
    <t xml:space="preserve">Iderlan Perin </t>
  </si>
  <si>
    <t>Sitio Perin</t>
  </si>
  <si>
    <t>Curionopolis</t>
  </si>
  <si>
    <t>Rd PA 275 Km 57</t>
  </si>
  <si>
    <t>indeferido</t>
  </si>
  <si>
    <t>LAR Em andamento</t>
  </si>
  <si>
    <t>25.004.697/0001-23</t>
  </si>
  <si>
    <t xml:space="preserve">R G Pinto Indústria e Comércio Eireli </t>
  </si>
  <si>
    <t>Pop Fruti</t>
  </si>
  <si>
    <t xml:space="preserve">Fabricação de Conservas de Frutas </t>
  </si>
  <si>
    <t>26/5/2022</t>
  </si>
  <si>
    <t>26/01/2022</t>
  </si>
  <si>
    <t>LO OK</t>
  </si>
  <si>
    <t>761.649.006-97</t>
  </si>
  <si>
    <t>José Maria Lopes</t>
  </si>
  <si>
    <t>Fazenda Mar de Rosas</t>
  </si>
  <si>
    <t>371.781.053-72</t>
  </si>
  <si>
    <t>Francisco Mendes da Silva</t>
  </si>
  <si>
    <t>Fazeda São José</t>
  </si>
  <si>
    <t>371.781.053-73</t>
  </si>
  <si>
    <t>718.511.502-30</t>
  </si>
  <si>
    <t>José Reginaldo da Silva</t>
  </si>
  <si>
    <t>Fazenda Boa Esperança</t>
  </si>
  <si>
    <t>020.208.225-99</t>
  </si>
  <si>
    <t>Celio Gama da Silva</t>
  </si>
  <si>
    <t>Fazenda Santo Anronio</t>
  </si>
  <si>
    <t>805.145.543-00</t>
  </si>
  <si>
    <t>Francisco Flavio Vildal</t>
  </si>
  <si>
    <t>Fazend Santa Fé</t>
  </si>
  <si>
    <t>823.314.102-47</t>
  </si>
  <si>
    <t>Valdir Junior Barbosa Garção</t>
  </si>
  <si>
    <t>Fazenda Monte Sinai I</t>
  </si>
  <si>
    <t>823.314.102-48</t>
  </si>
  <si>
    <t>Fazenda Monte Sinai II</t>
  </si>
  <si>
    <t>228.291.152-68</t>
  </si>
  <si>
    <t>Adail Jacó Ferreira</t>
  </si>
  <si>
    <t>Fazenda Novidade</t>
  </si>
  <si>
    <t>Lazir Ribeiro Barbosa</t>
  </si>
  <si>
    <t>Fazenda Boca da onça</t>
  </si>
  <si>
    <t>Fazenda Nova Esperança</t>
  </si>
  <si>
    <t>753.801.452-73</t>
  </si>
  <si>
    <t>Fazenda Ouro Verde</t>
  </si>
  <si>
    <t>753.801.452-74</t>
  </si>
  <si>
    <t>Márcio Alexandre Costa</t>
  </si>
  <si>
    <t>Fazenda Rsa verde</t>
  </si>
  <si>
    <t>018.084.531-78</t>
  </si>
  <si>
    <t>Rafaela Agra de Castro</t>
  </si>
  <si>
    <t>Fazenda Meu Xodó I</t>
  </si>
  <si>
    <t>839+475.102-34</t>
  </si>
  <si>
    <t>Rodrigo Santiago da Silva</t>
  </si>
  <si>
    <t>Fazenda bom Leite</t>
  </si>
  <si>
    <t>116.187.702-49</t>
  </si>
  <si>
    <t>Davi Teixeira Pires</t>
  </si>
  <si>
    <t>Fazenda Lembrança</t>
  </si>
  <si>
    <t>089.693.068-89</t>
  </si>
  <si>
    <t>Hipolito Constancio da Silva Neto</t>
  </si>
  <si>
    <t>Fazenda A Fazendinha</t>
  </si>
  <si>
    <t>522.825.631-15</t>
  </si>
  <si>
    <t>Claudio cezar Barbosa Leal</t>
  </si>
  <si>
    <t>Fazenda Alta Floresta</t>
  </si>
  <si>
    <t>Cacildo Rodrigues de Oliveira</t>
  </si>
  <si>
    <t>Fazenda Boi Gordo</t>
  </si>
  <si>
    <t>Valdivino Rodrigues Chaveiro</t>
  </si>
  <si>
    <t>Fazend Cajazeiras</t>
  </si>
  <si>
    <t>549.805.501-35</t>
  </si>
  <si>
    <t>015.953.001-63</t>
  </si>
  <si>
    <t>Aldo Ferreira Ribeiro</t>
  </si>
  <si>
    <t>015.953.001-64</t>
  </si>
  <si>
    <t>012.824.082-24</t>
  </si>
  <si>
    <t>Flavio Silva Martins</t>
  </si>
  <si>
    <t>991.829.471-04</t>
  </si>
  <si>
    <t>João Paulo da Silveira Marques</t>
  </si>
  <si>
    <t>588.169.929-72</t>
  </si>
  <si>
    <t>Roque Francisco Dutra</t>
  </si>
  <si>
    <t>Fazenda São Roque</t>
  </si>
  <si>
    <t>011.088.142-64</t>
  </si>
  <si>
    <t>Daiane Gonçalves da Silva</t>
  </si>
  <si>
    <t>Fazenda Dois Corações II</t>
  </si>
  <si>
    <t>957.812.341-87</t>
  </si>
  <si>
    <t>Claudia Regina Ribeiro</t>
  </si>
  <si>
    <t>Fazenda Bom Jesus</t>
  </si>
  <si>
    <t>Goianesia</t>
  </si>
  <si>
    <t>692.658.662-20</t>
  </si>
  <si>
    <t>Isabele Nonato de Oliveira</t>
  </si>
  <si>
    <t>Fazenda Paloma II</t>
  </si>
  <si>
    <t>Munir Salmem</t>
  </si>
  <si>
    <t>Fazenda Mactube</t>
  </si>
  <si>
    <t>377.469.071-72</t>
  </si>
  <si>
    <t>Manoel de Oliveira Filho</t>
  </si>
  <si>
    <t>Fazenda Chibata</t>
  </si>
  <si>
    <t>297.070.218-53</t>
  </si>
  <si>
    <t>Nilson Cesar Matos</t>
  </si>
  <si>
    <t>Fazenda São Sebastião II</t>
  </si>
  <si>
    <t>004.323.242-67</t>
  </si>
  <si>
    <t>Guilherme Henrique Fritche Franzina</t>
  </si>
  <si>
    <t xml:space="preserve">Fazenda São Sebastião I </t>
  </si>
  <si>
    <t>São Felix do Xingú</t>
  </si>
  <si>
    <t>525.215.681-00</t>
  </si>
  <si>
    <t>Osvaldo Arce \junior</t>
  </si>
  <si>
    <t>Fazenda Tres Princesas</t>
  </si>
  <si>
    <t>014.489.183-47</t>
  </si>
  <si>
    <t>Leonardo \nunes Araújo</t>
  </si>
  <si>
    <t>Fazenda Montaria</t>
  </si>
  <si>
    <t>024.458.971-15</t>
  </si>
  <si>
    <t>Ivo Gonçalves Ferreira</t>
  </si>
  <si>
    <t>Fazenda Santa Helena</t>
  </si>
  <si>
    <t>13.608.538/0001-25</t>
  </si>
  <si>
    <t>Auto Posto Folha 23</t>
  </si>
  <si>
    <t>Posto Folha 23</t>
  </si>
  <si>
    <t>14.559.323/0001-80</t>
  </si>
  <si>
    <t>D Pio Comércio Ltda ME</t>
  </si>
  <si>
    <t xml:space="preserve">H S Recicladora </t>
  </si>
  <si>
    <t>TRR Transporte e Comércio de Combustivel Dom Eliseu LTDA</t>
  </si>
  <si>
    <t>TRR</t>
  </si>
  <si>
    <t>Transporte de Combustivel</t>
  </si>
  <si>
    <t xml:space="preserve">LO OK </t>
  </si>
  <si>
    <t>2939-0023</t>
  </si>
  <si>
    <t>07.724.573/0001-47</t>
  </si>
  <si>
    <t>Auto Posto Verde Ltda</t>
  </si>
  <si>
    <t>Auto Posto Verde</t>
  </si>
  <si>
    <t>22.929.707/0003-81</t>
  </si>
  <si>
    <t>Construfox Construções e Incorporações LTDA</t>
  </si>
  <si>
    <t>Construfox Construções e Incorporações</t>
  </si>
  <si>
    <t>São Geraldo do Araguai</t>
  </si>
  <si>
    <t>KM 04</t>
  </si>
  <si>
    <t xml:space="preserve">LO OK /Pegar com Ronaldo </t>
  </si>
  <si>
    <t>22.929.707/0001-10</t>
  </si>
  <si>
    <t xml:space="preserve">Em andamento  </t>
  </si>
  <si>
    <t>4.953.717/0001-09</t>
  </si>
  <si>
    <t>Secretaria de Estado de Transporte</t>
  </si>
  <si>
    <t>Construção de Rodovias</t>
  </si>
  <si>
    <t>28/11/2020</t>
  </si>
  <si>
    <t>28/07/2020</t>
  </si>
  <si>
    <t>Vencida</t>
  </si>
  <si>
    <t>L202500000278</t>
  </si>
  <si>
    <t>31.908.665/0001-21</t>
  </si>
  <si>
    <t>LA202500000091</t>
  </si>
  <si>
    <t>Auto Posto WR Marabá LTDA</t>
  </si>
  <si>
    <t>63.654.088/0001-94</t>
  </si>
  <si>
    <t>25080016833/2025</t>
  </si>
  <si>
    <t>42.043.912/0001-90</t>
  </si>
  <si>
    <t xml:space="preserve">B. Bizerra Lemos LTDA </t>
  </si>
  <si>
    <t xml:space="preserve">Vila Nova dos Martírios </t>
  </si>
  <si>
    <t>54.228.965/0001-85</t>
  </si>
  <si>
    <t>Alto Alegre</t>
  </si>
  <si>
    <t>8597/2025</t>
  </si>
  <si>
    <t>Mirante Empreendimentos Imobiliários (Mirante da Serra 2)</t>
  </si>
  <si>
    <t>LA202500000001</t>
  </si>
  <si>
    <t>000218/2024-72</t>
  </si>
  <si>
    <t>001132/2025-48</t>
  </si>
  <si>
    <t>000305/2024-20</t>
  </si>
  <si>
    <t>0807036/2025</t>
  </si>
  <si>
    <t>005/2026</t>
  </si>
  <si>
    <t>5456/2025</t>
  </si>
  <si>
    <t>03.95.515/0354-67</t>
  </si>
  <si>
    <t>Mateus Supermercados S.A. (Cafeteira)</t>
  </si>
  <si>
    <t xml:space="preserve">Alto Bonito do Triangulo </t>
  </si>
  <si>
    <t>L202600000326</t>
  </si>
  <si>
    <t>L202500000192</t>
  </si>
  <si>
    <t>028/2025</t>
  </si>
  <si>
    <t>000279/2024-30</t>
  </si>
  <si>
    <t>001678/2025-07</t>
  </si>
  <si>
    <t>001854/2025-01</t>
  </si>
  <si>
    <t>03.995.515/0374-00</t>
  </si>
  <si>
    <t>32417/2025</t>
  </si>
  <si>
    <t>2025/14100321</t>
  </si>
  <si>
    <t>2025/7908</t>
  </si>
  <si>
    <t>DDO - 000.488/2026-S</t>
  </si>
  <si>
    <t>L202600000371</t>
  </si>
  <si>
    <t>Mateus Supermercados S.A.(Super Mateus)</t>
  </si>
  <si>
    <t>Mateus Supermercados S.A. (Av. Dr. Freitas)</t>
  </si>
  <si>
    <t>002119/2025-14</t>
  </si>
  <si>
    <t xml:space="preserve">Sul do Pará Saúde Cooperativa de Trabalho Médico - Hospital São Lucas - Av. Tocantins </t>
  </si>
  <si>
    <t>2022/40319/122210</t>
  </si>
  <si>
    <t>2022/40319/115845</t>
  </si>
  <si>
    <t>003636/2024</t>
  </si>
  <si>
    <t>03.995.515/0013-09</t>
  </si>
  <si>
    <t>Mateus Supermercados S.A. (Estrada do Cajuí - Maguari)</t>
  </si>
  <si>
    <t xml:space="preserve">Maguari </t>
  </si>
  <si>
    <t>São Bento do Tocantins</t>
  </si>
  <si>
    <t>20250530-C</t>
  </si>
  <si>
    <t>09.647.935/0004-81</t>
  </si>
  <si>
    <t>De Pneus Comércio LTDA (Frota Pneus)</t>
  </si>
  <si>
    <t xml:space="preserve">Ananindeua </t>
  </si>
  <si>
    <t xml:space="preserve">Coqueiro </t>
  </si>
  <si>
    <t>14000070/2026</t>
  </si>
  <si>
    <t>2025/40311/007442</t>
  </si>
  <si>
    <t>2022/40319/123019</t>
  </si>
  <si>
    <t>2022/40319/088399</t>
  </si>
  <si>
    <t>Buriti do Tocantins</t>
  </si>
  <si>
    <t>000316/2024-18</t>
  </si>
  <si>
    <t>Auto Posto Tracyanne LTDA (Folha 18)</t>
  </si>
  <si>
    <t>003397/2025</t>
  </si>
  <si>
    <t>007/2026</t>
  </si>
  <si>
    <t>001.923/2025-78</t>
  </si>
  <si>
    <t>001786/2025-71</t>
  </si>
  <si>
    <t>000070/2025-57</t>
  </si>
  <si>
    <t xml:space="preserve">G H Comércio Varejista de Bebidas e Gás LTDA - Supermercado Estrela </t>
  </si>
  <si>
    <t>36/2022</t>
  </si>
  <si>
    <t>23.982.735/0001-63</t>
  </si>
  <si>
    <t xml:space="preserve">Auto Posto Bujaru Ltda </t>
  </si>
  <si>
    <t xml:space="preserve">Bujaru </t>
  </si>
  <si>
    <t>RAL</t>
  </si>
  <si>
    <t>RIAA</t>
  </si>
  <si>
    <t>003/2025</t>
  </si>
  <si>
    <t>288/2025</t>
  </si>
  <si>
    <t>3237/2025</t>
  </si>
  <si>
    <t>L202500000941</t>
  </si>
  <si>
    <t>41.760.460/0001-03</t>
  </si>
  <si>
    <t>A S Posto de Combustivel Ltda</t>
  </si>
  <si>
    <t xml:space="preserve">Benevides </t>
  </si>
  <si>
    <t xml:space="preserve">SEMMAT </t>
  </si>
  <si>
    <t>000636/2024-60</t>
  </si>
  <si>
    <t>000577/2024-20</t>
  </si>
  <si>
    <t>003408/2025</t>
  </si>
  <si>
    <t>Mateus Supermercados S.A.(Rod. Augusto Monte Negro)</t>
  </si>
  <si>
    <t>000572/2024-05</t>
  </si>
  <si>
    <t>000669/2024-18</t>
  </si>
  <si>
    <t>000138/2025</t>
  </si>
  <si>
    <t>000198/2026-00</t>
  </si>
  <si>
    <t>63.459.872/0001-32</t>
  </si>
  <si>
    <t>Marlon Breno de Sá Cangussu (Minas Bar)</t>
  </si>
  <si>
    <t>Auto Posto BR 222 LTDA (TRANSPORTE)</t>
  </si>
  <si>
    <t>126/2024</t>
  </si>
  <si>
    <t>54.228.965/0001-65</t>
  </si>
  <si>
    <t>E L L COMBUSTÍVEIS LTDA (AUTO POSTO BR 222 LTDA) - POSTO</t>
  </si>
  <si>
    <t>000.382/2024-80</t>
  </si>
  <si>
    <t>L. V. do Nascimento Cerâmica ME (Fabricação)</t>
  </si>
  <si>
    <t xml:space="preserve">L. V. do Nascimento Cerâmica ME (Área 02)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</si>
</sst>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4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0"/>
      <name val="Arial"/>
      <family val="2"/>
    </font>
    <font>
      <b/>
      <sz val="11"/>
      <color theme="0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entury Gothic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Open Sans"/>
      <family val="2"/>
    </font>
    <font>
      <sz val="14"/>
      <color rgb="FF262626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Calibri"/>
      <family val="2"/>
    </font>
    <font>
      <b/>
      <sz val="12"/>
      <color rgb="FF000000"/>
      <name val="Open Sans"/>
      <family val="2"/>
    </font>
    <font>
      <sz val="12"/>
      <color rgb="FF262626"/>
      <name val="Arial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C8C8C8"/>
        <bgColor rgb="FFC8C8C8"/>
      </patternFill>
    </fill>
    <fill>
      <patternFill patternType="solid">
        <fgColor rgb="FF2E75B5"/>
        <bgColor rgb="FF2E75B5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14" fontId="5" fillId="4" borderId="3" xfId="0" applyNumberFormat="1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6" fillId="5" borderId="2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 wrapText="1"/>
    </xf>
    <xf numFmtId="3" fontId="1" fillId="6" borderId="2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/>
    </xf>
    <xf numFmtId="3" fontId="1" fillId="7" borderId="7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4" fontId="5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3" fontId="1" fillId="7" borderId="2" xfId="0" applyNumberFormat="1" applyFont="1" applyFill="1" applyBorder="1" applyAlignment="1">
      <alignment horizontal="center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3" fontId="1" fillId="7" borderId="2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1" fillId="8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5" fillId="4" borderId="2" xfId="0" quotePrefix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14" fontId="5" fillId="12" borderId="2" xfId="0" applyNumberFormat="1" applyFont="1" applyFill="1" applyBorder="1" applyAlignment="1">
      <alignment horizontal="center" vertical="center"/>
    </xf>
    <xf numFmtId="14" fontId="1" fillId="12" borderId="2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14" fontId="5" fillId="12" borderId="2" xfId="0" applyNumberFormat="1" applyFont="1" applyFill="1" applyBorder="1" applyAlignment="1">
      <alignment horizontal="center" vertical="center" wrapText="1"/>
    </xf>
    <xf numFmtId="14" fontId="1" fillId="12" borderId="2" xfId="0" applyNumberFormat="1" applyFont="1" applyFill="1" applyBorder="1" applyAlignment="1">
      <alignment horizontal="center" vertical="center" wrapText="1"/>
    </xf>
    <xf numFmtId="14" fontId="6" fillId="12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1" fillId="11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14" fontId="5" fillId="12" borderId="4" xfId="0" applyNumberFormat="1" applyFont="1" applyFill="1" applyBorder="1" applyAlignment="1">
      <alignment horizontal="center" vertical="center" wrapText="1"/>
    </xf>
    <xf numFmtId="14" fontId="1" fillId="12" borderId="4" xfId="0" applyNumberFormat="1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1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 wrapText="1"/>
    </xf>
    <xf numFmtId="14" fontId="5" fillId="12" borderId="3" xfId="0" applyNumberFormat="1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10" fillId="0" borderId="2" xfId="0" applyFont="1" applyBorder="1"/>
    <xf numFmtId="0" fontId="23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24" fillId="0" borderId="2" xfId="0" applyFont="1" applyBorder="1" applyAlignment="1">
      <alignment horizontal="center" wrapText="1"/>
    </xf>
    <xf numFmtId="0" fontId="23" fillId="0" borderId="2" xfId="0" applyFont="1" applyBorder="1" applyAlignment="1">
      <alignment horizontal="center" vertical="center" wrapText="1"/>
    </xf>
    <xf numFmtId="14" fontId="23" fillId="0" borderId="2" xfId="0" applyNumberFormat="1" applyFont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righ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4" fontId="25" fillId="0" borderId="2" xfId="0" applyNumberFormat="1" applyFont="1" applyBorder="1" applyAlignment="1">
      <alignment horizontal="center" vertical="center" wrapText="1"/>
    </xf>
    <xf numFmtId="14" fontId="25" fillId="0" borderId="2" xfId="0" applyNumberFormat="1" applyFont="1" applyBorder="1" applyAlignment="1">
      <alignment vertical="center" wrapText="1"/>
    </xf>
    <xf numFmtId="0" fontId="27" fillId="0" borderId="2" xfId="0" applyFont="1" applyBorder="1"/>
    <xf numFmtId="1" fontId="28" fillId="4" borderId="2" xfId="0" applyNumberFormat="1" applyFont="1" applyFill="1" applyBorder="1"/>
    <xf numFmtId="14" fontId="25" fillId="0" borderId="9" xfId="0" applyNumberFormat="1" applyFont="1" applyBorder="1" applyAlignment="1">
      <alignment horizontal="center" vertical="center" wrapText="1"/>
    </xf>
    <xf numFmtId="1" fontId="25" fillId="0" borderId="2" xfId="0" applyNumberFormat="1" applyFont="1" applyBorder="1" applyAlignment="1">
      <alignment horizontal="right" vertical="center" wrapText="1"/>
    </xf>
    <xf numFmtId="0" fontId="10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right" vertical="center" wrapText="1"/>
    </xf>
    <xf numFmtId="0" fontId="25" fillId="0" borderId="2" xfId="0" applyFont="1" applyBorder="1" applyAlignment="1">
      <alignment vertical="center" wrapText="1"/>
    </xf>
    <xf numFmtId="0" fontId="31" fillId="0" borderId="2" xfId="0" applyFont="1" applyBorder="1"/>
    <xf numFmtId="1" fontId="32" fillId="4" borderId="2" xfId="0" applyNumberFormat="1" applyFont="1" applyFill="1" applyBorder="1"/>
    <xf numFmtId="14" fontId="25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24" fillId="5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right" vertical="center" wrapText="1"/>
    </xf>
    <xf numFmtId="0" fontId="26" fillId="5" borderId="2" xfId="0" applyFont="1" applyFill="1" applyBorder="1" applyAlignment="1">
      <alignment horizontal="right" vertical="center" wrapText="1"/>
    </xf>
    <xf numFmtId="0" fontId="26" fillId="5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center" vertical="center" wrapText="1"/>
    </xf>
    <xf numFmtId="14" fontId="26" fillId="5" borderId="2" xfId="0" applyNumberFormat="1" applyFont="1" applyFill="1" applyBorder="1" applyAlignment="1">
      <alignment horizontal="center" vertical="center" wrapText="1"/>
    </xf>
    <xf numFmtId="14" fontId="26" fillId="5" borderId="2" xfId="0" applyNumberFormat="1" applyFont="1" applyFill="1" applyBorder="1" applyAlignment="1">
      <alignment vertical="center" wrapText="1"/>
    </xf>
    <xf numFmtId="14" fontId="26" fillId="5" borderId="5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14" fontId="25" fillId="5" borderId="2" xfId="0" applyNumberFormat="1" applyFont="1" applyFill="1" applyBorder="1" applyAlignment="1">
      <alignment horizontal="center" vertical="center" wrapText="1"/>
    </xf>
    <xf numFmtId="14" fontId="25" fillId="5" borderId="2" xfId="0" applyNumberFormat="1" applyFont="1" applyFill="1" applyBorder="1" applyAlignment="1">
      <alignment vertical="center" wrapText="1"/>
    </xf>
    <xf numFmtId="14" fontId="25" fillId="5" borderId="5" xfId="0" applyNumberFormat="1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right" vertical="center" wrapText="1"/>
    </xf>
    <xf numFmtId="0" fontId="5" fillId="14" borderId="2" xfId="0" applyFont="1" applyFill="1" applyBorder="1" applyAlignment="1">
      <alignment horizontal="center" vertical="center" wrapText="1"/>
    </xf>
    <xf numFmtId="14" fontId="5" fillId="14" borderId="2" xfId="0" applyNumberFormat="1" applyFont="1" applyFill="1" applyBorder="1" applyAlignment="1">
      <alignment horizontal="center" vertical="center" wrapText="1"/>
    </xf>
    <xf numFmtId="14" fontId="6" fillId="14" borderId="2" xfId="0" applyNumberFormat="1" applyFont="1" applyFill="1" applyBorder="1" applyAlignment="1">
      <alignment horizontal="center" vertical="center"/>
    </xf>
    <xf numFmtId="14" fontId="6" fillId="14" borderId="2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/>
    </xf>
    <xf numFmtId="14" fontId="5" fillId="15" borderId="2" xfId="0" applyNumberFormat="1" applyFont="1" applyFill="1" applyBorder="1" applyAlignment="1">
      <alignment horizontal="center" vertical="center" wrapText="1"/>
    </xf>
    <xf numFmtId="14" fontId="5" fillId="15" borderId="3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vertical="center" wrapText="1"/>
    </xf>
    <xf numFmtId="14" fontId="6" fillId="15" borderId="2" xfId="0" applyNumberFormat="1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 wrapText="1"/>
    </xf>
    <xf numFmtId="14" fontId="6" fillId="17" borderId="2" xfId="0" applyNumberFormat="1" applyFont="1" applyFill="1" applyBorder="1" applyAlignment="1">
      <alignment horizontal="center" vertical="center" wrapText="1"/>
    </xf>
    <xf numFmtId="14" fontId="5" fillId="16" borderId="2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 vertical="center"/>
    </xf>
    <xf numFmtId="14" fontId="5" fillId="1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5" formatCode=";;;\:"/>
      <fill>
        <patternFill patternType="none"/>
      </fill>
    </dxf>
    <dxf>
      <numFmt numFmtId="165" formatCode=";;;\: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1"/>
  <sheetViews>
    <sheetView tabSelected="1" zoomScale="70" zoomScaleNormal="70" workbookViewId="0">
      <pane ySplit="1" topLeftCell="A319" activePane="bottomLeft" state="frozen"/>
      <selection activeCell="E1" sqref="E1"/>
      <selection pane="bottomLeft" activeCell="P331" sqref="P331"/>
    </sheetView>
  </sheetViews>
  <sheetFormatPr defaultColWidth="14.42578125" defaultRowHeight="15" customHeight="1" x14ac:dyDescent="0.25"/>
  <cols>
    <col min="1" max="1" width="8.85546875" customWidth="1"/>
    <col min="2" max="2" width="32.28515625" customWidth="1"/>
    <col min="3" max="3" width="12.28515625" customWidth="1"/>
    <col min="4" max="4" width="25.85546875" customWidth="1"/>
    <col min="5" max="5" width="65.5703125" customWidth="1"/>
    <col min="6" max="6" width="30.5703125" customWidth="1"/>
    <col min="7" max="7" width="23.28515625" customWidth="1"/>
    <col min="8" max="8" width="0.140625" hidden="1" customWidth="1"/>
    <col min="9" max="9" width="19.28515625" customWidth="1"/>
    <col min="10" max="10" width="1.42578125" hidden="1" customWidth="1"/>
    <col min="11" max="11" width="22.42578125" customWidth="1"/>
    <col min="12" max="12" width="21.28515625" customWidth="1"/>
    <col min="13" max="13" width="19" customWidth="1"/>
    <col min="14" max="14" width="18.85546875" customWidth="1"/>
    <col min="15" max="15" width="19.5703125" customWidth="1"/>
    <col min="16" max="16" width="25.7109375" customWidth="1"/>
    <col min="17" max="39" width="8.7109375" customWidth="1"/>
  </cols>
  <sheetData>
    <row r="1" spans="1:39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1820</v>
      </c>
      <c r="N1" s="4" t="s">
        <v>12</v>
      </c>
      <c r="O1" s="2" t="s">
        <v>13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4.5" customHeight="1" x14ac:dyDescent="0.25">
      <c r="A2" s="6">
        <v>1</v>
      </c>
      <c r="B2" s="7">
        <v>2566</v>
      </c>
      <c r="C2" s="8">
        <v>2013</v>
      </c>
      <c r="D2" s="8" t="s">
        <v>14</v>
      </c>
      <c r="E2" s="8" t="s">
        <v>15</v>
      </c>
      <c r="F2" s="8" t="s">
        <v>16</v>
      </c>
      <c r="G2" s="8" t="s">
        <v>17</v>
      </c>
      <c r="H2" s="9" t="s">
        <v>18</v>
      </c>
      <c r="I2" s="8" t="s">
        <v>19</v>
      </c>
      <c r="J2" s="8" t="s">
        <v>20</v>
      </c>
      <c r="K2" s="10" t="s">
        <v>21</v>
      </c>
      <c r="L2" s="10">
        <v>46135</v>
      </c>
      <c r="M2" s="10">
        <v>46015</v>
      </c>
      <c r="N2" s="10">
        <f t="shared" ref="N2:N21" si="0">L2-120</f>
        <v>46015</v>
      </c>
      <c r="O2" s="11" t="str">
        <f t="shared" ref="O2:O3" ca="1" si="1">IF(L2&gt;TODAY(),"Válida",IF(ISBLANK(L2),"Andamento",IF(L2&lt;TODAY(),"Vencida",IF(L2-TODAY()&lt;90,"URGENTE",IF(L2-TODAY()&lt;150,"RENOVAÇÃO",)))))</f>
        <v>Válida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34.5" customHeight="1" x14ac:dyDescent="0.25">
      <c r="A3" s="6">
        <v>1</v>
      </c>
      <c r="B3" s="7">
        <v>3363</v>
      </c>
      <c r="C3" s="8">
        <v>2015</v>
      </c>
      <c r="D3" s="8" t="s">
        <v>22</v>
      </c>
      <c r="E3" s="8" t="s">
        <v>23</v>
      </c>
      <c r="F3" s="8" t="s">
        <v>16</v>
      </c>
      <c r="G3" s="8" t="s">
        <v>24</v>
      </c>
      <c r="H3" s="9" t="s">
        <v>18</v>
      </c>
      <c r="I3" s="8" t="s">
        <v>19</v>
      </c>
      <c r="J3" s="8" t="s">
        <v>25</v>
      </c>
      <c r="K3" s="10" t="s">
        <v>21</v>
      </c>
      <c r="L3" s="10">
        <v>46279</v>
      </c>
      <c r="M3" s="10">
        <v>46159</v>
      </c>
      <c r="N3" s="10">
        <f t="shared" si="0"/>
        <v>46159</v>
      </c>
      <c r="O3" s="11" t="str">
        <f t="shared" ca="1" si="1"/>
        <v>Válida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ht="34.5" customHeight="1" x14ac:dyDescent="0.25">
      <c r="A4" s="6">
        <v>2</v>
      </c>
      <c r="B4" s="7">
        <v>5744</v>
      </c>
      <c r="C4" s="8">
        <v>2018</v>
      </c>
      <c r="D4" s="8" t="s">
        <v>26</v>
      </c>
      <c r="E4" s="8" t="s">
        <v>27</v>
      </c>
      <c r="F4" s="8" t="s">
        <v>28</v>
      </c>
      <c r="G4" s="8" t="s">
        <v>29</v>
      </c>
      <c r="H4" s="9"/>
      <c r="I4" s="8" t="s">
        <v>19</v>
      </c>
      <c r="J4" s="8"/>
      <c r="K4" s="10" t="s">
        <v>21</v>
      </c>
      <c r="L4" s="10">
        <v>47104</v>
      </c>
      <c r="M4" s="10">
        <v>46984</v>
      </c>
      <c r="N4" s="10">
        <f t="shared" si="0"/>
        <v>46984</v>
      </c>
      <c r="O4" s="11" t="s">
        <v>30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34.5" customHeight="1" x14ac:dyDescent="0.25">
      <c r="A5" s="6">
        <v>2</v>
      </c>
      <c r="B5" s="7">
        <v>1325</v>
      </c>
      <c r="C5" s="8">
        <v>2016</v>
      </c>
      <c r="D5" s="8" t="s">
        <v>31</v>
      </c>
      <c r="E5" s="8" t="s">
        <v>27</v>
      </c>
      <c r="F5" s="8" t="s">
        <v>28</v>
      </c>
      <c r="G5" s="8" t="s">
        <v>32</v>
      </c>
      <c r="H5" s="9"/>
      <c r="I5" s="8" t="s">
        <v>19</v>
      </c>
      <c r="J5" s="8"/>
      <c r="K5" s="10" t="s">
        <v>21</v>
      </c>
      <c r="L5" s="10">
        <v>47330</v>
      </c>
      <c r="M5" s="10">
        <v>46234</v>
      </c>
      <c r="N5" s="10">
        <f t="shared" si="0"/>
        <v>47210</v>
      </c>
      <c r="O5" s="11" t="s">
        <v>30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34.5" customHeight="1" x14ac:dyDescent="0.25">
      <c r="A6" s="6">
        <v>2</v>
      </c>
      <c r="B6" s="7">
        <v>4246</v>
      </c>
      <c r="C6" s="8">
        <v>2020</v>
      </c>
      <c r="D6" s="8" t="s">
        <v>33</v>
      </c>
      <c r="E6" s="8" t="s">
        <v>34</v>
      </c>
      <c r="F6" s="8" t="s">
        <v>28</v>
      </c>
      <c r="G6" s="8" t="s">
        <v>35</v>
      </c>
      <c r="H6" s="9" t="s">
        <v>18</v>
      </c>
      <c r="I6" s="8" t="s">
        <v>19</v>
      </c>
      <c r="J6" s="8" t="s">
        <v>36</v>
      </c>
      <c r="K6" s="10" t="s">
        <v>21</v>
      </c>
      <c r="L6" s="10">
        <v>47147</v>
      </c>
      <c r="M6" s="10">
        <v>47027</v>
      </c>
      <c r="N6" s="10">
        <f t="shared" si="0"/>
        <v>47027</v>
      </c>
      <c r="O6" s="11" t="s">
        <v>30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34.5" customHeight="1" x14ac:dyDescent="0.25">
      <c r="A7" s="6">
        <v>2</v>
      </c>
      <c r="B7" s="7" t="s">
        <v>1770</v>
      </c>
      <c r="C7" s="8">
        <v>2025</v>
      </c>
      <c r="D7" s="8" t="s">
        <v>1771</v>
      </c>
      <c r="E7" s="8" t="s">
        <v>1772</v>
      </c>
      <c r="F7" s="8" t="s">
        <v>28</v>
      </c>
      <c r="G7" s="8" t="s">
        <v>1773</v>
      </c>
      <c r="H7" s="9"/>
      <c r="I7" s="8" t="s">
        <v>40</v>
      </c>
      <c r="J7" s="8"/>
      <c r="K7" s="10" t="s">
        <v>273</v>
      </c>
      <c r="L7" s="10">
        <v>46416</v>
      </c>
      <c r="M7" s="10">
        <v>46294</v>
      </c>
      <c r="N7" s="10">
        <v>46294</v>
      </c>
      <c r="O7" s="11" t="s">
        <v>30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34.5" customHeight="1" x14ac:dyDescent="0.25">
      <c r="A8" s="6">
        <v>2</v>
      </c>
      <c r="B8" s="7">
        <v>5397</v>
      </c>
      <c r="C8" s="8">
        <v>2025</v>
      </c>
      <c r="D8" s="8" t="s">
        <v>37</v>
      </c>
      <c r="E8" s="8" t="s">
        <v>38</v>
      </c>
      <c r="F8" s="8" t="s">
        <v>28</v>
      </c>
      <c r="G8" s="8" t="s">
        <v>39</v>
      </c>
      <c r="H8" s="9"/>
      <c r="I8" s="8" t="s">
        <v>19</v>
      </c>
      <c r="J8" s="8"/>
      <c r="K8" s="10" t="s">
        <v>21</v>
      </c>
      <c r="L8" s="10">
        <v>46786</v>
      </c>
      <c r="M8" s="10">
        <v>46666</v>
      </c>
      <c r="N8" s="10">
        <f t="shared" si="0"/>
        <v>46666</v>
      </c>
      <c r="O8" s="11" t="s">
        <v>30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34.5" customHeight="1" x14ac:dyDescent="0.25">
      <c r="A9" s="6">
        <v>2</v>
      </c>
      <c r="B9" s="7">
        <v>5409</v>
      </c>
      <c r="C9" s="8">
        <v>2025</v>
      </c>
      <c r="D9" s="8" t="s">
        <v>41</v>
      </c>
      <c r="E9" s="8" t="s">
        <v>42</v>
      </c>
      <c r="F9" s="8" t="s">
        <v>28</v>
      </c>
      <c r="G9" s="8" t="s">
        <v>43</v>
      </c>
      <c r="H9" s="9"/>
      <c r="I9" s="8" t="s">
        <v>40</v>
      </c>
      <c r="J9" s="8"/>
      <c r="K9" s="10" t="s">
        <v>21</v>
      </c>
      <c r="L9" s="10">
        <v>46270</v>
      </c>
      <c r="M9" s="10">
        <v>46150</v>
      </c>
      <c r="N9" s="10">
        <f t="shared" si="0"/>
        <v>46150</v>
      </c>
      <c r="O9" s="11" t="s">
        <v>30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ht="34.5" customHeight="1" x14ac:dyDescent="0.25">
      <c r="A10" s="6">
        <v>2</v>
      </c>
      <c r="B10" s="7">
        <v>2465</v>
      </c>
      <c r="C10" s="8">
        <v>2016</v>
      </c>
      <c r="D10" s="8" t="s">
        <v>44</v>
      </c>
      <c r="E10" s="8" t="s">
        <v>27</v>
      </c>
      <c r="F10" s="8" t="s">
        <v>28</v>
      </c>
      <c r="G10" s="8" t="s">
        <v>45</v>
      </c>
      <c r="H10" s="9"/>
      <c r="I10" s="8" t="s">
        <v>19</v>
      </c>
      <c r="J10" s="8"/>
      <c r="K10" s="10" t="s">
        <v>21</v>
      </c>
      <c r="L10" s="10">
        <v>47035</v>
      </c>
      <c r="M10" s="10">
        <v>46915</v>
      </c>
      <c r="N10" s="10">
        <f t="shared" si="0"/>
        <v>46915</v>
      </c>
      <c r="O10" s="11" t="s">
        <v>30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ht="34.5" customHeight="1" x14ac:dyDescent="0.25">
      <c r="A11" s="6">
        <v>2</v>
      </c>
      <c r="B11" s="7">
        <v>1326</v>
      </c>
      <c r="C11" s="8">
        <v>2016</v>
      </c>
      <c r="D11" s="8" t="s">
        <v>46</v>
      </c>
      <c r="E11" s="8" t="s">
        <v>47</v>
      </c>
      <c r="F11" s="8" t="s">
        <v>28</v>
      </c>
      <c r="G11" s="8" t="s">
        <v>48</v>
      </c>
      <c r="H11" s="9"/>
      <c r="I11" s="8" t="s">
        <v>49</v>
      </c>
      <c r="J11" s="8"/>
      <c r="K11" s="10" t="s">
        <v>21</v>
      </c>
      <c r="L11" s="10">
        <v>47391</v>
      </c>
      <c r="M11" s="10">
        <v>47271</v>
      </c>
      <c r="N11" s="10">
        <f t="shared" si="0"/>
        <v>47271</v>
      </c>
      <c r="O11" s="11" t="s">
        <v>30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ht="34.5" customHeight="1" x14ac:dyDescent="0.25">
      <c r="A12" s="6">
        <v>2</v>
      </c>
      <c r="B12" s="7">
        <v>4660</v>
      </c>
      <c r="C12" s="8">
        <v>2023</v>
      </c>
      <c r="D12" s="8" t="s">
        <v>50</v>
      </c>
      <c r="E12" s="8" t="s">
        <v>51</v>
      </c>
      <c r="F12" s="8" t="s">
        <v>28</v>
      </c>
      <c r="G12" s="8" t="s">
        <v>52</v>
      </c>
      <c r="H12" s="9"/>
      <c r="I12" s="8" t="s">
        <v>19</v>
      </c>
      <c r="J12" s="8"/>
      <c r="K12" s="10" t="s">
        <v>21</v>
      </c>
      <c r="L12" s="10">
        <v>47065</v>
      </c>
      <c r="M12" s="10">
        <v>46945</v>
      </c>
      <c r="N12" s="10">
        <f t="shared" si="0"/>
        <v>46945</v>
      </c>
      <c r="O12" s="11" t="s">
        <v>30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ht="34.5" customHeight="1" x14ac:dyDescent="0.25">
      <c r="A13" s="6">
        <v>2</v>
      </c>
      <c r="B13" s="7">
        <v>5488</v>
      </c>
      <c r="C13" s="8">
        <v>2025</v>
      </c>
      <c r="D13" s="8" t="s">
        <v>53</v>
      </c>
      <c r="E13" s="8" t="s">
        <v>54</v>
      </c>
      <c r="F13" s="8" t="s">
        <v>28</v>
      </c>
      <c r="G13" s="8" t="s">
        <v>55</v>
      </c>
      <c r="H13" s="9"/>
      <c r="I13" s="8" t="s">
        <v>49</v>
      </c>
      <c r="J13" s="8"/>
      <c r="K13" s="10" t="s">
        <v>21</v>
      </c>
      <c r="L13" s="10">
        <v>47461</v>
      </c>
      <c r="M13" s="10">
        <v>47341</v>
      </c>
      <c r="N13" s="10">
        <f t="shared" si="0"/>
        <v>47341</v>
      </c>
      <c r="O13" s="11" t="s">
        <v>30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34.5" customHeight="1" x14ac:dyDescent="0.25">
      <c r="A14" s="6">
        <v>3</v>
      </c>
      <c r="B14" s="7">
        <v>3733</v>
      </c>
      <c r="C14" s="8">
        <v>2016</v>
      </c>
      <c r="D14" s="8" t="s">
        <v>56</v>
      </c>
      <c r="E14" s="8" t="s">
        <v>57</v>
      </c>
      <c r="F14" s="8" t="s">
        <v>16</v>
      </c>
      <c r="G14" s="8" t="s">
        <v>58</v>
      </c>
      <c r="H14" s="9" t="s">
        <v>18</v>
      </c>
      <c r="I14" s="8" t="s">
        <v>19</v>
      </c>
      <c r="J14" s="8" t="s">
        <v>59</v>
      </c>
      <c r="K14" s="8" t="s">
        <v>21</v>
      </c>
      <c r="L14" s="10">
        <v>45988</v>
      </c>
      <c r="M14" s="10">
        <v>45868</v>
      </c>
      <c r="N14" s="10">
        <f t="shared" si="0"/>
        <v>45868</v>
      </c>
      <c r="O14" s="11" t="s">
        <v>30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34.5" customHeight="1" x14ac:dyDescent="0.25">
      <c r="A15" s="6">
        <v>4</v>
      </c>
      <c r="B15" s="7" t="s">
        <v>60</v>
      </c>
      <c r="C15" s="8">
        <v>2024</v>
      </c>
      <c r="D15" s="8" t="s">
        <v>61</v>
      </c>
      <c r="E15" s="8" t="s">
        <v>62</v>
      </c>
      <c r="F15" s="8" t="s">
        <v>16</v>
      </c>
      <c r="G15" s="8" t="s">
        <v>63</v>
      </c>
      <c r="H15" s="9" t="s">
        <v>18</v>
      </c>
      <c r="I15" s="8" t="s">
        <v>19</v>
      </c>
      <c r="J15" s="8" t="s">
        <v>64</v>
      </c>
      <c r="K15" s="8" t="s">
        <v>21</v>
      </c>
      <c r="L15" s="10">
        <v>45965</v>
      </c>
      <c r="M15" s="12">
        <v>45845</v>
      </c>
      <c r="N15" s="10">
        <f t="shared" si="0"/>
        <v>45845</v>
      </c>
      <c r="O15" s="11" t="s">
        <v>30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34.5" customHeight="1" x14ac:dyDescent="0.25">
      <c r="A16" s="6">
        <v>5</v>
      </c>
      <c r="B16" s="7">
        <v>4843</v>
      </c>
      <c r="C16" s="8">
        <v>2019</v>
      </c>
      <c r="D16" s="8" t="s">
        <v>65</v>
      </c>
      <c r="E16" s="8" t="s">
        <v>66</v>
      </c>
      <c r="F16" s="8" t="s">
        <v>16</v>
      </c>
      <c r="G16" s="8" t="s">
        <v>67</v>
      </c>
      <c r="H16" s="8" t="s">
        <v>18</v>
      </c>
      <c r="I16" s="8" t="s">
        <v>19</v>
      </c>
      <c r="J16" s="8" t="s">
        <v>68</v>
      </c>
      <c r="K16" s="10" t="s">
        <v>21</v>
      </c>
      <c r="L16" s="10">
        <v>46204</v>
      </c>
      <c r="M16" s="10">
        <v>46084</v>
      </c>
      <c r="N16" s="10">
        <f t="shared" si="0"/>
        <v>46084</v>
      </c>
      <c r="O16" s="11" t="s">
        <v>30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34.5" customHeight="1" x14ac:dyDescent="0.25">
      <c r="A17" s="6">
        <v>6</v>
      </c>
      <c r="B17" s="7" t="s">
        <v>1813</v>
      </c>
      <c r="C17" s="8">
        <v>2025</v>
      </c>
      <c r="D17" s="8" t="s">
        <v>69</v>
      </c>
      <c r="E17" s="8" t="s">
        <v>1814</v>
      </c>
      <c r="F17" s="8" t="s">
        <v>16</v>
      </c>
      <c r="G17" s="8" t="s">
        <v>71</v>
      </c>
      <c r="H17" s="9" t="s">
        <v>18</v>
      </c>
      <c r="I17" s="8" t="s">
        <v>19</v>
      </c>
      <c r="J17" s="8" t="s">
        <v>59</v>
      </c>
      <c r="K17" s="10" t="s">
        <v>21</v>
      </c>
      <c r="L17" s="10">
        <v>47982</v>
      </c>
      <c r="M17" s="10">
        <v>46449</v>
      </c>
      <c r="N17" s="10">
        <f t="shared" si="0"/>
        <v>47862</v>
      </c>
      <c r="O17" s="11" t="str">
        <f t="shared" ref="O17:O21" ca="1" si="2">IF(L17&gt;TODAY(),"Válida",IF(ISBLANK(L17),"Andamento",IF(L17&lt;TODAY(),"Vencida",IF(L17-TODAY()&lt;90,"URGENTE",IF(L17-TODAY()&lt;150,"RENOVAÇÃO",)))))</f>
        <v>Válida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34.5" customHeight="1" x14ac:dyDescent="0.25">
      <c r="A18" s="6">
        <v>7</v>
      </c>
      <c r="B18" s="7">
        <v>4371</v>
      </c>
      <c r="C18" s="8">
        <v>2018</v>
      </c>
      <c r="D18" s="8" t="s">
        <v>72</v>
      </c>
      <c r="E18" s="8" t="s">
        <v>70</v>
      </c>
      <c r="F18" s="8" t="s">
        <v>16</v>
      </c>
      <c r="G18" s="8" t="s">
        <v>73</v>
      </c>
      <c r="H18" s="9" t="s">
        <v>18</v>
      </c>
      <c r="I18" s="8" t="s">
        <v>19</v>
      </c>
      <c r="J18" s="8" t="s">
        <v>59</v>
      </c>
      <c r="K18" s="10" t="s">
        <v>21</v>
      </c>
      <c r="L18" s="10">
        <v>45803</v>
      </c>
      <c r="M18" s="10" t="s">
        <v>74</v>
      </c>
      <c r="N18" s="10">
        <f t="shared" si="0"/>
        <v>45683</v>
      </c>
      <c r="O18" s="11" t="str">
        <f t="shared" ca="1" si="2"/>
        <v>Vencida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34.5" customHeight="1" x14ac:dyDescent="0.25">
      <c r="A19" s="6">
        <v>8</v>
      </c>
      <c r="B19" s="7" t="s">
        <v>75</v>
      </c>
      <c r="C19" s="8">
        <v>2003</v>
      </c>
      <c r="D19" s="8" t="s">
        <v>76</v>
      </c>
      <c r="E19" s="8" t="s">
        <v>77</v>
      </c>
      <c r="F19" s="8" t="s">
        <v>16</v>
      </c>
      <c r="G19" s="8" t="s">
        <v>17</v>
      </c>
      <c r="H19" s="9" t="s">
        <v>18</v>
      </c>
      <c r="I19" s="8" t="s">
        <v>19</v>
      </c>
      <c r="J19" s="8" t="s">
        <v>78</v>
      </c>
      <c r="K19" s="10" t="s">
        <v>21</v>
      </c>
      <c r="L19" s="10">
        <v>46225</v>
      </c>
      <c r="M19" s="10">
        <v>46105</v>
      </c>
      <c r="N19" s="10">
        <f t="shared" si="0"/>
        <v>46105</v>
      </c>
      <c r="O19" s="11" t="str">
        <f t="shared" ca="1" si="2"/>
        <v>Válida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34.5" customHeight="1" x14ac:dyDescent="0.25">
      <c r="A20" s="6">
        <v>9</v>
      </c>
      <c r="B20" s="7" t="s">
        <v>79</v>
      </c>
      <c r="C20" s="8">
        <v>2023</v>
      </c>
      <c r="D20" s="8" t="s">
        <v>80</v>
      </c>
      <c r="E20" s="8" t="s">
        <v>27</v>
      </c>
      <c r="F20" s="8" t="s">
        <v>81</v>
      </c>
      <c r="G20" s="8" t="s">
        <v>82</v>
      </c>
      <c r="H20" s="9" t="s">
        <v>18</v>
      </c>
      <c r="I20" s="8" t="s">
        <v>19</v>
      </c>
      <c r="J20" s="8" t="s">
        <v>83</v>
      </c>
      <c r="K20" s="10" t="s">
        <v>21</v>
      </c>
      <c r="L20" s="10">
        <v>45098</v>
      </c>
      <c r="M20" s="10">
        <v>44978</v>
      </c>
      <c r="N20" s="10">
        <f t="shared" si="0"/>
        <v>44978</v>
      </c>
      <c r="O20" s="11" t="str">
        <f t="shared" ca="1" si="2"/>
        <v>Vencida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34.5" customHeight="1" x14ac:dyDescent="0.25">
      <c r="A21" s="6">
        <v>9</v>
      </c>
      <c r="B21" s="7" t="s">
        <v>84</v>
      </c>
      <c r="C21" s="8">
        <v>2021</v>
      </c>
      <c r="D21" s="8" t="s">
        <v>85</v>
      </c>
      <c r="E21" s="8" t="s">
        <v>27</v>
      </c>
      <c r="F21" s="8" t="s">
        <v>81</v>
      </c>
      <c r="G21" s="8" t="s">
        <v>86</v>
      </c>
      <c r="H21" s="9" t="s">
        <v>18</v>
      </c>
      <c r="I21" s="8" t="s">
        <v>19</v>
      </c>
      <c r="J21" s="8" t="s">
        <v>83</v>
      </c>
      <c r="K21" s="10" t="s">
        <v>21</v>
      </c>
      <c r="L21" s="10">
        <v>45718</v>
      </c>
      <c r="M21" s="10">
        <v>45352</v>
      </c>
      <c r="N21" s="10">
        <f t="shared" si="0"/>
        <v>45598</v>
      </c>
      <c r="O21" s="11" t="str">
        <f t="shared" ca="1" si="2"/>
        <v>Vencida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34.5" customHeight="1" x14ac:dyDescent="0.25">
      <c r="A22" s="6">
        <v>10</v>
      </c>
      <c r="B22" s="7" t="s">
        <v>84</v>
      </c>
      <c r="C22" s="8">
        <v>2021</v>
      </c>
      <c r="D22" s="8" t="s">
        <v>87</v>
      </c>
      <c r="E22" s="9" t="s">
        <v>88</v>
      </c>
      <c r="F22" s="9" t="s">
        <v>81</v>
      </c>
      <c r="G22" s="9" t="s">
        <v>89</v>
      </c>
      <c r="H22" s="9" t="s">
        <v>18</v>
      </c>
      <c r="I22" s="9" t="s">
        <v>49</v>
      </c>
      <c r="J22" s="9" t="s">
        <v>64</v>
      </c>
      <c r="K22" s="13" t="s">
        <v>21</v>
      </c>
      <c r="L22" s="14" t="s">
        <v>90</v>
      </c>
      <c r="M22" s="13" t="s">
        <v>91</v>
      </c>
      <c r="N22" s="10" t="s">
        <v>90</v>
      </c>
      <c r="O22" s="11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t="34.5" customHeight="1" x14ac:dyDescent="0.25">
      <c r="A23" s="6">
        <v>10</v>
      </c>
      <c r="B23" s="7" t="s">
        <v>92</v>
      </c>
      <c r="C23" s="8">
        <v>2023</v>
      </c>
      <c r="D23" s="8" t="s">
        <v>93</v>
      </c>
      <c r="E23" s="8" t="s">
        <v>27</v>
      </c>
      <c r="F23" s="8" t="s">
        <v>81</v>
      </c>
      <c r="G23" s="8" t="s">
        <v>94</v>
      </c>
      <c r="H23" s="9" t="s">
        <v>18</v>
      </c>
      <c r="I23" s="8" t="s">
        <v>49</v>
      </c>
      <c r="J23" s="8" t="s">
        <v>95</v>
      </c>
      <c r="K23" s="10" t="s">
        <v>21</v>
      </c>
      <c r="L23" s="10">
        <v>46523</v>
      </c>
      <c r="M23" s="10">
        <v>46403</v>
      </c>
      <c r="N23" s="10">
        <f t="shared" ref="N23:N33" si="3">L23-120</f>
        <v>46403</v>
      </c>
      <c r="O23" s="11" t="str">
        <f t="shared" ref="O23:O29" ca="1" si="4">IF(L23&gt;TODAY(),"Válida",IF(ISBLANK(L23),"Andamento",IF(L23&lt;TODAY(),"Vencida",IF(L23-TODAY()&lt;90,"URGENTE",IF(L23-TODAY()&lt;150,"RENOVAÇÃO",)))))</f>
        <v>Válida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ht="34.5" customHeight="1" x14ac:dyDescent="0.25">
      <c r="A24" s="6">
        <v>10</v>
      </c>
      <c r="B24" s="7" t="s">
        <v>96</v>
      </c>
      <c r="C24" s="8">
        <v>2023</v>
      </c>
      <c r="D24" s="8" t="s">
        <v>97</v>
      </c>
      <c r="E24" s="8" t="s">
        <v>27</v>
      </c>
      <c r="F24" s="8" t="s">
        <v>81</v>
      </c>
      <c r="G24" s="8" t="s">
        <v>63</v>
      </c>
      <c r="H24" s="9" t="s">
        <v>18</v>
      </c>
      <c r="I24" s="8" t="s">
        <v>49</v>
      </c>
      <c r="J24" s="8" t="s">
        <v>95</v>
      </c>
      <c r="K24" s="10" t="s">
        <v>21</v>
      </c>
      <c r="L24" s="10">
        <v>46492</v>
      </c>
      <c r="M24" s="10">
        <v>46372</v>
      </c>
      <c r="N24" s="10">
        <f t="shared" si="3"/>
        <v>46372</v>
      </c>
      <c r="O24" s="11" t="str">
        <f t="shared" ca="1" si="4"/>
        <v>Válida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ht="34.5" customHeight="1" x14ac:dyDescent="0.25">
      <c r="A25" s="6">
        <v>10</v>
      </c>
      <c r="B25" s="7" t="s">
        <v>98</v>
      </c>
      <c r="C25" s="8">
        <v>2023</v>
      </c>
      <c r="D25" s="8" t="s">
        <v>99</v>
      </c>
      <c r="E25" s="8" t="s">
        <v>27</v>
      </c>
      <c r="F25" s="8" t="s">
        <v>81</v>
      </c>
      <c r="G25" s="8" t="s">
        <v>89</v>
      </c>
      <c r="H25" s="9" t="s">
        <v>18</v>
      </c>
      <c r="I25" s="8" t="s">
        <v>49</v>
      </c>
      <c r="J25" s="8" t="s">
        <v>95</v>
      </c>
      <c r="K25" s="10" t="s">
        <v>21</v>
      </c>
      <c r="L25" s="10">
        <v>46523</v>
      </c>
      <c r="M25" s="10">
        <v>46403</v>
      </c>
      <c r="N25" s="10">
        <f t="shared" si="3"/>
        <v>46403</v>
      </c>
      <c r="O25" s="11" t="str">
        <f t="shared" ca="1" si="4"/>
        <v>Válida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34.5" customHeight="1" x14ac:dyDescent="0.25">
      <c r="A26" s="6">
        <v>10</v>
      </c>
      <c r="B26" s="7" t="s">
        <v>100</v>
      </c>
      <c r="C26" s="8">
        <v>2023</v>
      </c>
      <c r="D26" s="8" t="s">
        <v>101</v>
      </c>
      <c r="E26" s="8" t="s">
        <v>27</v>
      </c>
      <c r="F26" s="8" t="s">
        <v>81</v>
      </c>
      <c r="G26" s="8" t="s">
        <v>102</v>
      </c>
      <c r="H26" s="9" t="s">
        <v>18</v>
      </c>
      <c r="I26" s="8" t="s">
        <v>49</v>
      </c>
      <c r="J26" s="8" t="s">
        <v>95</v>
      </c>
      <c r="K26" s="10" t="s">
        <v>21</v>
      </c>
      <c r="L26" s="10">
        <v>46523</v>
      </c>
      <c r="M26" s="10">
        <v>46403</v>
      </c>
      <c r="N26" s="10">
        <f t="shared" si="3"/>
        <v>46403</v>
      </c>
      <c r="O26" s="11" t="str">
        <f t="shared" ca="1" si="4"/>
        <v>Válida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ht="34.5" customHeight="1" x14ac:dyDescent="0.25">
      <c r="A27" s="6">
        <v>11</v>
      </c>
      <c r="B27" s="7">
        <v>6470</v>
      </c>
      <c r="C27" s="8">
        <v>2023</v>
      </c>
      <c r="D27" s="8" t="s">
        <v>103</v>
      </c>
      <c r="E27" s="15" t="s">
        <v>27</v>
      </c>
      <c r="F27" s="8" t="s">
        <v>104</v>
      </c>
      <c r="G27" s="8" t="s">
        <v>105</v>
      </c>
      <c r="H27" s="9" t="s">
        <v>18</v>
      </c>
      <c r="I27" s="8" t="s">
        <v>19</v>
      </c>
      <c r="J27" s="8" t="s">
        <v>83</v>
      </c>
      <c r="K27" s="10" t="s">
        <v>21</v>
      </c>
      <c r="L27" s="10">
        <v>47117</v>
      </c>
      <c r="M27" s="10">
        <v>46386</v>
      </c>
      <c r="N27" s="10">
        <f t="shared" si="3"/>
        <v>46997</v>
      </c>
      <c r="O27" s="11" t="str">
        <f t="shared" ca="1" si="4"/>
        <v>Válida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ht="34.5" customHeight="1" x14ac:dyDescent="0.25">
      <c r="A28" s="6">
        <v>11</v>
      </c>
      <c r="B28" s="7">
        <v>2473</v>
      </c>
      <c r="C28" s="8">
        <v>2020</v>
      </c>
      <c r="D28" s="8" t="s">
        <v>106</v>
      </c>
      <c r="E28" s="15" t="s">
        <v>27</v>
      </c>
      <c r="F28" s="8" t="s">
        <v>104</v>
      </c>
      <c r="G28" s="8" t="s">
        <v>107</v>
      </c>
      <c r="H28" s="9" t="s">
        <v>18</v>
      </c>
      <c r="I28" s="8" t="s">
        <v>19</v>
      </c>
      <c r="J28" s="8" t="s">
        <v>83</v>
      </c>
      <c r="K28" s="10" t="s">
        <v>21</v>
      </c>
      <c r="L28" s="10">
        <v>45747</v>
      </c>
      <c r="M28" s="10">
        <v>45627</v>
      </c>
      <c r="N28" s="10">
        <f t="shared" si="3"/>
        <v>45627</v>
      </c>
      <c r="O28" s="11" t="str">
        <f t="shared" ca="1" si="4"/>
        <v>Vencida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ht="34.5" customHeight="1" x14ac:dyDescent="0.25">
      <c r="A29" s="6">
        <v>11</v>
      </c>
      <c r="B29" s="7">
        <v>467</v>
      </c>
      <c r="C29" s="8">
        <v>2025</v>
      </c>
      <c r="D29" s="8" t="s">
        <v>108</v>
      </c>
      <c r="E29" s="15" t="s">
        <v>1786</v>
      </c>
      <c r="F29" s="8" t="s">
        <v>109</v>
      </c>
      <c r="G29" s="8" t="s">
        <v>110</v>
      </c>
      <c r="H29" s="9" t="s">
        <v>18</v>
      </c>
      <c r="I29" s="8" t="s">
        <v>19</v>
      </c>
      <c r="J29" s="8" t="s">
        <v>83</v>
      </c>
      <c r="K29" s="10" t="s">
        <v>21</v>
      </c>
      <c r="L29" s="10">
        <v>46525</v>
      </c>
      <c r="M29" s="10">
        <v>46160</v>
      </c>
      <c r="N29" s="10">
        <f t="shared" si="3"/>
        <v>46405</v>
      </c>
      <c r="O29" s="11" t="str">
        <f t="shared" ca="1" si="4"/>
        <v>Válida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34.5" customHeight="1" x14ac:dyDescent="0.25">
      <c r="A30" s="6">
        <v>11</v>
      </c>
      <c r="B30" s="7">
        <v>2146</v>
      </c>
      <c r="C30" s="8">
        <v>2025</v>
      </c>
      <c r="D30" s="8" t="s">
        <v>111</v>
      </c>
      <c r="E30" s="15" t="s">
        <v>284</v>
      </c>
      <c r="F30" s="8" t="s">
        <v>109</v>
      </c>
      <c r="G30" s="8" t="s">
        <v>110</v>
      </c>
      <c r="H30" s="9"/>
      <c r="I30" s="8" t="s">
        <v>112</v>
      </c>
      <c r="J30" s="8"/>
      <c r="K30" s="10" t="s">
        <v>21</v>
      </c>
      <c r="L30" s="10">
        <v>46426</v>
      </c>
      <c r="M30" s="10">
        <v>46306</v>
      </c>
      <c r="N30" s="10">
        <f t="shared" si="3"/>
        <v>46306</v>
      </c>
      <c r="O30" s="11" t="s">
        <v>30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34.5" customHeight="1" x14ac:dyDescent="0.25">
      <c r="A31" s="6">
        <v>12</v>
      </c>
      <c r="B31" s="7">
        <v>295</v>
      </c>
      <c r="C31" s="8">
        <v>2025</v>
      </c>
      <c r="D31" s="8" t="s">
        <v>113</v>
      </c>
      <c r="E31" s="15" t="s">
        <v>27</v>
      </c>
      <c r="F31" s="8" t="s">
        <v>114</v>
      </c>
      <c r="G31" s="8" t="s">
        <v>115</v>
      </c>
      <c r="H31" s="9" t="s">
        <v>18</v>
      </c>
      <c r="I31" s="8" t="s">
        <v>19</v>
      </c>
      <c r="J31" s="8" t="s">
        <v>83</v>
      </c>
      <c r="K31" s="10" t="s">
        <v>21</v>
      </c>
      <c r="L31" s="14">
        <v>46262</v>
      </c>
      <c r="M31" s="10">
        <v>46142</v>
      </c>
      <c r="N31" s="10">
        <f t="shared" si="3"/>
        <v>46142</v>
      </c>
      <c r="O31" s="11" t="str">
        <f t="shared" ref="O31:O33" ca="1" si="5">IF(L31&gt;TODAY(),"Válida",IF(ISBLANK(L31),"Andamento",IF(L31&lt;TODAY(),"Vencida",IF(L31-TODAY()&lt;90,"URGENTE",IF(L31-TODAY()&lt;150,"RENOVAÇÃO",)))))</f>
        <v>Válida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34.5" customHeight="1" x14ac:dyDescent="0.25">
      <c r="A32" s="6">
        <v>12</v>
      </c>
      <c r="B32" s="7">
        <v>298</v>
      </c>
      <c r="C32" s="8">
        <v>2025</v>
      </c>
      <c r="D32" s="8" t="s">
        <v>116</v>
      </c>
      <c r="E32" s="15" t="s">
        <v>27</v>
      </c>
      <c r="F32" s="8" t="s">
        <v>114</v>
      </c>
      <c r="G32" s="8" t="s">
        <v>115</v>
      </c>
      <c r="H32" s="9"/>
      <c r="I32" s="8" t="s">
        <v>19</v>
      </c>
      <c r="J32" s="8"/>
      <c r="K32" s="10" t="s">
        <v>21</v>
      </c>
      <c r="L32" s="14">
        <v>46265</v>
      </c>
      <c r="M32" s="10">
        <v>46145</v>
      </c>
      <c r="N32" s="10">
        <f t="shared" si="3"/>
        <v>46145</v>
      </c>
      <c r="O32" s="11" t="str">
        <f t="shared" ca="1" si="5"/>
        <v>Válida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34.5" customHeight="1" x14ac:dyDescent="0.25">
      <c r="A33" s="6">
        <v>13</v>
      </c>
      <c r="B33" s="7" t="s">
        <v>117</v>
      </c>
      <c r="C33" s="8">
        <v>2025</v>
      </c>
      <c r="D33" s="8" t="s">
        <v>118</v>
      </c>
      <c r="E33" s="15" t="s">
        <v>27</v>
      </c>
      <c r="F33" s="8" t="s">
        <v>119</v>
      </c>
      <c r="G33" s="8" t="s">
        <v>120</v>
      </c>
      <c r="H33" s="9" t="s">
        <v>18</v>
      </c>
      <c r="I33" s="8" t="s">
        <v>19</v>
      </c>
      <c r="J33" s="8" t="s">
        <v>83</v>
      </c>
      <c r="K33" s="10" t="s">
        <v>21</v>
      </c>
      <c r="L33" s="10">
        <v>46171</v>
      </c>
      <c r="M33" s="10">
        <v>46051</v>
      </c>
      <c r="N33" s="10">
        <f t="shared" si="3"/>
        <v>46051</v>
      </c>
      <c r="O33" s="11" t="str">
        <f t="shared" ca="1" si="5"/>
        <v>Válida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34.5" customHeight="1" x14ac:dyDescent="0.25">
      <c r="A34" s="6">
        <v>13</v>
      </c>
      <c r="B34" s="7" t="s">
        <v>121</v>
      </c>
      <c r="C34" s="8">
        <v>2023</v>
      </c>
      <c r="D34" s="8" t="s">
        <v>122</v>
      </c>
      <c r="E34" s="15" t="s">
        <v>27</v>
      </c>
      <c r="F34" s="8" t="s">
        <v>119</v>
      </c>
      <c r="G34" s="8" t="s">
        <v>123</v>
      </c>
      <c r="H34" s="9"/>
      <c r="I34" s="8" t="s">
        <v>19</v>
      </c>
      <c r="J34" s="8"/>
      <c r="K34" s="10" t="s">
        <v>21</v>
      </c>
      <c r="L34" s="10">
        <v>46102</v>
      </c>
      <c r="M34" s="10">
        <v>45982</v>
      </c>
      <c r="N34" s="10">
        <v>45982</v>
      </c>
      <c r="O34" s="11" t="s">
        <v>30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34.5" customHeight="1" x14ac:dyDescent="0.25">
      <c r="A35" s="6">
        <v>13</v>
      </c>
      <c r="B35" s="7" t="s">
        <v>124</v>
      </c>
      <c r="C35" s="8">
        <v>2025</v>
      </c>
      <c r="D35" s="8" t="s">
        <v>125</v>
      </c>
      <c r="E35" s="15" t="s">
        <v>88</v>
      </c>
      <c r="F35" s="8" t="s">
        <v>119</v>
      </c>
      <c r="G35" s="8" t="s">
        <v>126</v>
      </c>
      <c r="H35" s="9" t="s">
        <v>18</v>
      </c>
      <c r="I35" s="8" t="s">
        <v>19</v>
      </c>
      <c r="J35" s="8" t="s">
        <v>83</v>
      </c>
      <c r="K35" s="10" t="s">
        <v>21</v>
      </c>
      <c r="L35" s="10">
        <v>46171</v>
      </c>
      <c r="M35" s="10">
        <v>46051</v>
      </c>
      <c r="N35" s="10">
        <f t="shared" ref="N35:N46" si="6">L35-120</f>
        <v>46051</v>
      </c>
      <c r="O35" s="11" t="str">
        <f t="shared" ref="O35:O41" ca="1" si="7">IF(L35&gt;TODAY(),"Válida",IF(ISBLANK(L35),"Andamento",IF(L35&lt;TODAY(),"Vencida",IF(L35-TODAY()&lt;90,"URGENTE",IF(L35-TODAY()&lt;150,"RENOVAÇÃO",)))))</f>
        <v>Válida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34.5" customHeight="1" x14ac:dyDescent="0.25">
      <c r="A36" s="6">
        <v>14</v>
      </c>
      <c r="B36" s="7">
        <v>161</v>
      </c>
      <c r="C36" s="8">
        <v>2024</v>
      </c>
      <c r="D36" s="8" t="s">
        <v>127</v>
      </c>
      <c r="E36" s="15" t="s">
        <v>27</v>
      </c>
      <c r="F36" s="8" t="s">
        <v>128</v>
      </c>
      <c r="G36" s="8" t="s">
        <v>129</v>
      </c>
      <c r="H36" s="9" t="s">
        <v>18</v>
      </c>
      <c r="I36" s="8" t="s">
        <v>112</v>
      </c>
      <c r="J36" s="8" t="s">
        <v>83</v>
      </c>
      <c r="K36" s="10" t="s">
        <v>21</v>
      </c>
      <c r="L36" s="10">
        <v>45821</v>
      </c>
      <c r="M36" s="10">
        <v>45701</v>
      </c>
      <c r="N36" s="10">
        <f t="shared" si="6"/>
        <v>45701</v>
      </c>
      <c r="O36" s="11" t="str">
        <f t="shared" ca="1" si="7"/>
        <v>Vencida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34.5" customHeight="1" x14ac:dyDescent="0.25">
      <c r="A37" s="6">
        <v>15</v>
      </c>
      <c r="B37" s="7">
        <v>3591</v>
      </c>
      <c r="C37" s="16">
        <v>2020</v>
      </c>
      <c r="D37" s="16" t="s">
        <v>130</v>
      </c>
      <c r="E37" s="17" t="s">
        <v>27</v>
      </c>
      <c r="F37" s="16" t="s">
        <v>104</v>
      </c>
      <c r="G37" s="16" t="s">
        <v>131</v>
      </c>
      <c r="H37" s="18" t="s">
        <v>18</v>
      </c>
      <c r="I37" s="16" t="s">
        <v>19</v>
      </c>
      <c r="J37" s="16" t="s">
        <v>83</v>
      </c>
      <c r="K37" s="16" t="s">
        <v>21</v>
      </c>
      <c r="L37" s="19">
        <v>46203</v>
      </c>
      <c r="M37" s="19">
        <v>46085</v>
      </c>
      <c r="N37" s="19">
        <f t="shared" si="6"/>
        <v>46083</v>
      </c>
      <c r="O37" s="20" t="str">
        <f t="shared" ca="1" si="7"/>
        <v>Válida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34.5" customHeight="1" x14ac:dyDescent="0.25">
      <c r="A38" s="6">
        <v>15</v>
      </c>
      <c r="B38" s="7">
        <v>4493</v>
      </c>
      <c r="C38" s="16">
        <v>2021</v>
      </c>
      <c r="D38" s="16" t="s">
        <v>132</v>
      </c>
      <c r="E38" s="17" t="s">
        <v>27</v>
      </c>
      <c r="F38" s="16" t="s">
        <v>104</v>
      </c>
      <c r="G38" s="16" t="s">
        <v>133</v>
      </c>
      <c r="H38" s="18" t="s">
        <v>18</v>
      </c>
      <c r="I38" s="16" t="s">
        <v>19</v>
      </c>
      <c r="J38" s="16" t="s">
        <v>83</v>
      </c>
      <c r="K38" s="16" t="s">
        <v>21</v>
      </c>
      <c r="L38" s="19">
        <v>45915</v>
      </c>
      <c r="M38" s="19">
        <v>45778</v>
      </c>
      <c r="N38" s="19">
        <f t="shared" si="6"/>
        <v>45795</v>
      </c>
      <c r="O38" s="20" t="str">
        <f t="shared" ca="1" si="7"/>
        <v>Vencida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34.5" customHeight="1" x14ac:dyDescent="0.25">
      <c r="A39" s="6">
        <v>15</v>
      </c>
      <c r="B39" s="7">
        <v>6446</v>
      </c>
      <c r="C39" s="16">
        <v>2021</v>
      </c>
      <c r="D39" s="16" t="s">
        <v>134</v>
      </c>
      <c r="E39" s="17" t="s">
        <v>27</v>
      </c>
      <c r="F39" s="16" t="s">
        <v>104</v>
      </c>
      <c r="G39" s="16" t="s">
        <v>135</v>
      </c>
      <c r="H39" s="18" t="s">
        <v>18</v>
      </c>
      <c r="I39" s="16" t="s">
        <v>19</v>
      </c>
      <c r="J39" s="16" t="s">
        <v>83</v>
      </c>
      <c r="K39" s="16" t="s">
        <v>21</v>
      </c>
      <c r="L39" s="19">
        <v>46019</v>
      </c>
      <c r="M39" s="19" t="s">
        <v>136</v>
      </c>
      <c r="N39" s="19">
        <f t="shared" si="6"/>
        <v>45899</v>
      </c>
      <c r="O39" s="20" t="str">
        <f t="shared" ca="1" si="7"/>
        <v>Vencida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34.5" customHeight="1" x14ac:dyDescent="0.25">
      <c r="A40" s="6">
        <v>16</v>
      </c>
      <c r="B40" s="7">
        <v>4494</v>
      </c>
      <c r="C40" s="8">
        <v>2021</v>
      </c>
      <c r="D40" s="8" t="s">
        <v>137</v>
      </c>
      <c r="E40" s="15" t="s">
        <v>27</v>
      </c>
      <c r="F40" s="8" t="s">
        <v>104</v>
      </c>
      <c r="G40" s="8" t="s">
        <v>138</v>
      </c>
      <c r="H40" s="9" t="s">
        <v>18</v>
      </c>
      <c r="I40" s="8" t="s">
        <v>19</v>
      </c>
      <c r="J40" s="8" t="s">
        <v>83</v>
      </c>
      <c r="K40" s="8" t="s">
        <v>21</v>
      </c>
      <c r="L40" s="10">
        <v>45915</v>
      </c>
      <c r="M40" s="10">
        <v>45896</v>
      </c>
      <c r="N40" s="10">
        <f t="shared" si="6"/>
        <v>45795</v>
      </c>
      <c r="O40" s="11" t="str">
        <f t="shared" ca="1" si="7"/>
        <v>Vencida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34.5" customHeight="1" x14ac:dyDescent="0.25">
      <c r="A41" s="6">
        <v>16</v>
      </c>
      <c r="B41" s="7">
        <v>240</v>
      </c>
      <c r="C41" s="16">
        <v>2022</v>
      </c>
      <c r="D41" s="16" t="s">
        <v>139</v>
      </c>
      <c r="E41" s="17" t="s">
        <v>27</v>
      </c>
      <c r="F41" s="16" t="s">
        <v>104</v>
      </c>
      <c r="G41" s="16" t="s">
        <v>133</v>
      </c>
      <c r="H41" s="18" t="s">
        <v>18</v>
      </c>
      <c r="I41" s="16" t="s">
        <v>19</v>
      </c>
      <c r="J41" s="16" t="s">
        <v>83</v>
      </c>
      <c r="K41" s="19" t="s">
        <v>21</v>
      </c>
      <c r="L41" s="19">
        <v>46137</v>
      </c>
      <c r="M41" s="19">
        <v>46017</v>
      </c>
      <c r="N41" s="19">
        <f t="shared" si="6"/>
        <v>46017</v>
      </c>
      <c r="O41" s="20" t="str">
        <f t="shared" ca="1" si="7"/>
        <v>Válida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34.5" customHeight="1" x14ac:dyDescent="0.25">
      <c r="A42" s="6">
        <v>17</v>
      </c>
      <c r="B42" s="7">
        <v>898</v>
      </c>
      <c r="C42" s="8">
        <v>2006</v>
      </c>
      <c r="D42" s="8" t="s">
        <v>140</v>
      </c>
      <c r="E42" s="8" t="s">
        <v>141</v>
      </c>
      <c r="F42" s="8" t="s">
        <v>16</v>
      </c>
      <c r="G42" s="8" t="s">
        <v>142</v>
      </c>
      <c r="H42" s="9" t="s">
        <v>18</v>
      </c>
      <c r="I42" s="8" t="s">
        <v>19</v>
      </c>
      <c r="J42" s="8" t="s">
        <v>143</v>
      </c>
      <c r="K42" s="10" t="s">
        <v>21</v>
      </c>
      <c r="L42" s="10">
        <v>46147</v>
      </c>
      <c r="M42" s="10">
        <v>46027</v>
      </c>
      <c r="N42" s="10">
        <f t="shared" si="6"/>
        <v>46027</v>
      </c>
      <c r="O42" s="11" t="s">
        <v>30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34.5" customHeight="1" x14ac:dyDescent="0.25">
      <c r="A43" s="6">
        <v>18</v>
      </c>
      <c r="B43" s="7">
        <v>2714</v>
      </c>
      <c r="C43" s="21">
        <v>2013</v>
      </c>
      <c r="D43" s="8" t="s">
        <v>144</v>
      </c>
      <c r="E43" s="8" t="s">
        <v>27</v>
      </c>
      <c r="F43" s="8" t="s">
        <v>16</v>
      </c>
      <c r="G43" s="8" t="s">
        <v>17</v>
      </c>
      <c r="H43" s="9" t="s">
        <v>18</v>
      </c>
      <c r="I43" s="8" t="s">
        <v>19</v>
      </c>
      <c r="J43" s="8" t="s">
        <v>83</v>
      </c>
      <c r="K43" s="10" t="s">
        <v>21</v>
      </c>
      <c r="L43" s="10">
        <v>46316</v>
      </c>
      <c r="M43" s="10">
        <v>46196</v>
      </c>
      <c r="N43" s="10">
        <f t="shared" si="6"/>
        <v>46196</v>
      </c>
      <c r="O43" s="11" t="str">
        <f t="shared" ref="O43:O45" ca="1" si="8">IF(L43&gt;TODAY(),"Válida",IF(ISBLANK(L43),"Andamento",IF(L43&lt;TODAY(),"Vencida",IF(L43-TODAY()&lt;90,"URGENTE",IF(L43-TODAY()&lt;150,"RENOVAÇÃO",)))))</f>
        <v>Válida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34.5" customHeight="1" x14ac:dyDescent="0.25">
      <c r="A44" s="6">
        <v>19</v>
      </c>
      <c r="B44" s="7">
        <v>2715</v>
      </c>
      <c r="C44" s="8">
        <v>2013</v>
      </c>
      <c r="D44" s="8" t="s">
        <v>145</v>
      </c>
      <c r="E44" s="8" t="s">
        <v>27</v>
      </c>
      <c r="F44" s="8" t="s">
        <v>16</v>
      </c>
      <c r="G44" s="8" t="s">
        <v>58</v>
      </c>
      <c r="H44" s="9" t="s">
        <v>18</v>
      </c>
      <c r="I44" s="8" t="s">
        <v>19</v>
      </c>
      <c r="J44" s="8" t="s">
        <v>83</v>
      </c>
      <c r="K44" s="10" t="s">
        <v>21</v>
      </c>
      <c r="L44" s="10">
        <v>45874</v>
      </c>
      <c r="M44" s="10">
        <v>45754</v>
      </c>
      <c r="N44" s="10">
        <f t="shared" si="6"/>
        <v>45754</v>
      </c>
      <c r="O44" s="11" t="str">
        <f t="shared" ca="1" si="8"/>
        <v>Vencida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34.5" customHeight="1" x14ac:dyDescent="0.25">
      <c r="A45" s="6">
        <v>20</v>
      </c>
      <c r="B45" s="7">
        <v>3652</v>
      </c>
      <c r="C45" s="8">
        <v>2016</v>
      </c>
      <c r="D45" s="8" t="s">
        <v>146</v>
      </c>
      <c r="E45" s="8" t="s">
        <v>147</v>
      </c>
      <c r="F45" s="8" t="s">
        <v>16</v>
      </c>
      <c r="G45" s="8" t="s">
        <v>17</v>
      </c>
      <c r="H45" s="9" t="s">
        <v>18</v>
      </c>
      <c r="I45" s="15" t="s">
        <v>19</v>
      </c>
      <c r="J45" s="8" t="s">
        <v>83</v>
      </c>
      <c r="K45" s="10" t="s">
        <v>21</v>
      </c>
      <c r="L45" s="10">
        <v>45992</v>
      </c>
      <c r="M45" s="10">
        <v>45872</v>
      </c>
      <c r="N45" s="10">
        <f t="shared" si="6"/>
        <v>45872</v>
      </c>
      <c r="O45" s="11" t="str">
        <f t="shared" ca="1" si="8"/>
        <v>Vencida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34.5" customHeight="1" x14ac:dyDescent="0.25">
      <c r="A46" s="6">
        <v>21</v>
      </c>
      <c r="B46" s="7" t="s">
        <v>148</v>
      </c>
      <c r="C46" s="8">
        <v>2024</v>
      </c>
      <c r="D46" s="8" t="s">
        <v>149</v>
      </c>
      <c r="E46" s="8" t="s">
        <v>150</v>
      </c>
      <c r="F46" s="8" t="s">
        <v>16</v>
      </c>
      <c r="G46" s="8" t="s">
        <v>17</v>
      </c>
      <c r="H46" s="9" t="s">
        <v>18</v>
      </c>
      <c r="I46" s="8" t="s">
        <v>40</v>
      </c>
      <c r="J46" s="8" t="s">
        <v>151</v>
      </c>
      <c r="K46" s="10" t="s">
        <v>21</v>
      </c>
      <c r="L46" s="10">
        <v>46354</v>
      </c>
      <c r="M46" s="10">
        <v>46234</v>
      </c>
      <c r="N46" s="10">
        <f t="shared" si="6"/>
        <v>46234</v>
      </c>
      <c r="O46" s="11" t="s">
        <v>30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34.5" customHeight="1" x14ac:dyDescent="0.25">
      <c r="A47" s="6">
        <v>21</v>
      </c>
      <c r="B47" s="7">
        <v>7384</v>
      </c>
      <c r="C47" s="8">
        <v>2023</v>
      </c>
      <c r="D47" s="8" t="s">
        <v>152</v>
      </c>
      <c r="E47" s="8" t="s">
        <v>153</v>
      </c>
      <c r="F47" s="8" t="s">
        <v>16</v>
      </c>
      <c r="G47" s="8" t="s">
        <v>154</v>
      </c>
      <c r="H47" s="9"/>
      <c r="I47" s="8" t="s">
        <v>19</v>
      </c>
      <c r="J47" s="8"/>
      <c r="K47" s="10" t="s">
        <v>21</v>
      </c>
      <c r="L47" s="10">
        <v>45849</v>
      </c>
      <c r="M47" s="10">
        <v>45727</v>
      </c>
      <c r="N47" s="10">
        <v>45727</v>
      </c>
      <c r="O47" s="11" t="s">
        <v>30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34.5" customHeight="1" x14ac:dyDescent="0.25">
      <c r="A48" s="6">
        <v>21</v>
      </c>
      <c r="B48" s="7" t="s">
        <v>155</v>
      </c>
      <c r="C48" s="8">
        <v>2024</v>
      </c>
      <c r="D48" s="8" t="s">
        <v>156</v>
      </c>
      <c r="E48" s="8" t="s">
        <v>157</v>
      </c>
      <c r="F48" s="8" t="s">
        <v>16</v>
      </c>
      <c r="G48" s="8" t="s">
        <v>17</v>
      </c>
      <c r="H48" s="9" t="s">
        <v>18</v>
      </c>
      <c r="I48" s="8" t="s">
        <v>1338</v>
      </c>
      <c r="J48" s="8" t="s">
        <v>159</v>
      </c>
      <c r="K48" s="10" t="s">
        <v>21</v>
      </c>
      <c r="L48" s="10">
        <v>45890</v>
      </c>
      <c r="M48" s="10">
        <v>45768</v>
      </c>
      <c r="N48" s="10">
        <v>45768</v>
      </c>
      <c r="O48" s="11" t="s">
        <v>30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34.5" customHeight="1" x14ac:dyDescent="0.25">
      <c r="A49" s="6">
        <v>21</v>
      </c>
      <c r="B49" s="7" t="s">
        <v>160</v>
      </c>
      <c r="C49" s="8">
        <v>2024</v>
      </c>
      <c r="D49" s="8" t="s">
        <v>161</v>
      </c>
      <c r="E49" s="8" t="s">
        <v>162</v>
      </c>
      <c r="F49" s="8" t="s">
        <v>16</v>
      </c>
      <c r="G49" s="8" t="s">
        <v>17</v>
      </c>
      <c r="H49" s="9"/>
      <c r="I49" s="8" t="s">
        <v>163</v>
      </c>
      <c r="J49" s="8"/>
      <c r="K49" s="10" t="s">
        <v>21</v>
      </c>
      <c r="L49" s="10">
        <v>46704</v>
      </c>
      <c r="M49" s="10">
        <v>46339</v>
      </c>
      <c r="N49" s="10">
        <v>46581</v>
      </c>
      <c r="O49" s="11" t="s">
        <v>30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34.5" customHeight="1" x14ac:dyDescent="0.25">
      <c r="A50" s="6">
        <v>21</v>
      </c>
      <c r="B50" s="7">
        <v>6426</v>
      </c>
      <c r="C50" s="8">
        <v>2022</v>
      </c>
      <c r="D50" s="8" t="s">
        <v>164</v>
      </c>
      <c r="E50" s="8" t="s">
        <v>165</v>
      </c>
      <c r="F50" s="8" t="s">
        <v>16</v>
      </c>
      <c r="G50" s="8" t="s">
        <v>17</v>
      </c>
      <c r="H50" s="9"/>
      <c r="I50" s="8" t="s">
        <v>163</v>
      </c>
      <c r="J50" s="8"/>
      <c r="K50" s="10" t="s">
        <v>21</v>
      </c>
      <c r="L50" s="10">
        <v>46205</v>
      </c>
      <c r="M50" s="10">
        <v>46083</v>
      </c>
      <c r="N50" s="10">
        <v>46083</v>
      </c>
      <c r="O50" s="11" t="s">
        <v>30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34.5" customHeight="1" x14ac:dyDescent="0.25">
      <c r="A51" s="6">
        <v>22</v>
      </c>
      <c r="B51" s="7">
        <v>4120</v>
      </c>
      <c r="C51" s="16">
        <v>2018</v>
      </c>
      <c r="D51" s="16" t="s">
        <v>166</v>
      </c>
      <c r="E51" s="16" t="s">
        <v>167</v>
      </c>
      <c r="F51" s="16" t="s">
        <v>16</v>
      </c>
      <c r="G51" s="16" t="s">
        <v>168</v>
      </c>
      <c r="H51" s="18" t="s">
        <v>18</v>
      </c>
      <c r="I51" s="16" t="s">
        <v>49</v>
      </c>
      <c r="J51" s="16" t="s">
        <v>169</v>
      </c>
      <c r="K51" s="19" t="s">
        <v>21</v>
      </c>
      <c r="L51" s="19" t="s">
        <v>90</v>
      </c>
      <c r="M51" s="19" t="s">
        <v>170</v>
      </c>
      <c r="N51" s="10" t="s">
        <v>91</v>
      </c>
      <c r="O51" s="11" t="s">
        <v>30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34.5" customHeight="1" x14ac:dyDescent="0.25">
      <c r="A52" s="6">
        <v>22</v>
      </c>
      <c r="B52" s="7">
        <v>5448</v>
      </c>
      <c r="C52" s="16">
        <v>2020</v>
      </c>
      <c r="D52" s="16" t="s">
        <v>171</v>
      </c>
      <c r="E52" s="16" t="s">
        <v>172</v>
      </c>
      <c r="F52" s="16" t="s">
        <v>16</v>
      </c>
      <c r="G52" s="16" t="s">
        <v>168</v>
      </c>
      <c r="H52" s="18" t="s">
        <v>18</v>
      </c>
      <c r="I52" s="16" t="s">
        <v>49</v>
      </c>
      <c r="J52" s="16" t="s">
        <v>64</v>
      </c>
      <c r="K52" s="19" t="s">
        <v>21</v>
      </c>
      <c r="L52" s="19" t="s">
        <v>90</v>
      </c>
      <c r="M52" s="19" t="s">
        <v>90</v>
      </c>
      <c r="N52" s="10" t="s">
        <v>91</v>
      </c>
      <c r="O52" s="22" t="s">
        <v>30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34.5" customHeight="1" x14ac:dyDescent="0.25">
      <c r="A53" s="6">
        <v>23</v>
      </c>
      <c r="B53" s="7">
        <v>6202</v>
      </c>
      <c r="C53" s="23">
        <v>2021</v>
      </c>
      <c r="D53" s="23" t="s">
        <v>173</v>
      </c>
      <c r="E53" s="23" t="s">
        <v>174</v>
      </c>
      <c r="F53" s="23" t="s">
        <v>16</v>
      </c>
      <c r="G53" s="23" t="s">
        <v>63</v>
      </c>
      <c r="H53" s="24" t="s">
        <v>18</v>
      </c>
      <c r="I53" s="23" t="s">
        <v>163</v>
      </c>
      <c r="J53" s="23" t="s">
        <v>169</v>
      </c>
      <c r="K53" s="25" t="s">
        <v>21</v>
      </c>
      <c r="L53" s="25">
        <v>45436</v>
      </c>
      <c r="M53" s="25">
        <v>45316</v>
      </c>
      <c r="N53" s="25">
        <f t="shared" ref="N53:N54" si="9">L53-120</f>
        <v>45316</v>
      </c>
      <c r="O53" s="26" t="s">
        <v>30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34.5" customHeight="1" x14ac:dyDescent="0.25">
      <c r="A54" s="6">
        <v>24</v>
      </c>
      <c r="B54" s="7">
        <v>1866</v>
      </c>
      <c r="C54" s="8">
        <v>2010</v>
      </c>
      <c r="D54" s="8" t="s">
        <v>175</v>
      </c>
      <c r="E54" s="8" t="s">
        <v>176</v>
      </c>
      <c r="F54" s="8" t="s">
        <v>16</v>
      </c>
      <c r="G54" s="8" t="s">
        <v>17</v>
      </c>
      <c r="H54" s="9" t="s">
        <v>18</v>
      </c>
      <c r="I54" s="8" t="s">
        <v>19</v>
      </c>
      <c r="J54" s="8" t="s">
        <v>177</v>
      </c>
      <c r="K54" s="10" t="s">
        <v>21</v>
      </c>
      <c r="L54" s="10">
        <v>46329</v>
      </c>
      <c r="M54" s="10">
        <v>46209</v>
      </c>
      <c r="N54" s="10">
        <f t="shared" si="9"/>
        <v>46209</v>
      </c>
      <c r="O54" s="11" t="str">
        <f ca="1">IF(L54&gt;TODAY(),"Válida",IF(ISBLANK(L54),"Andamento",IF(L54&lt;TODAY(),"Vencida",IF(L54-TODAY()&lt;90,"URGENTE",IF(L54-TODAY()&lt;150,"RENOVAÇÃO",)))))</f>
        <v>Válida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34.5" customHeight="1" x14ac:dyDescent="0.25">
      <c r="A55" s="6">
        <v>24</v>
      </c>
      <c r="B55" s="7">
        <v>4354</v>
      </c>
      <c r="C55" s="8">
        <v>2018</v>
      </c>
      <c r="D55" s="8" t="s">
        <v>178</v>
      </c>
      <c r="E55" s="8" t="s">
        <v>179</v>
      </c>
      <c r="F55" s="8" t="s">
        <v>16</v>
      </c>
      <c r="G55" s="8" t="s">
        <v>17</v>
      </c>
      <c r="H55" s="9" t="s">
        <v>18</v>
      </c>
      <c r="I55" s="8" t="s">
        <v>49</v>
      </c>
      <c r="J55" s="8" t="s">
        <v>180</v>
      </c>
      <c r="K55" s="10" t="s">
        <v>21</v>
      </c>
      <c r="L55" s="10" t="s">
        <v>90</v>
      </c>
      <c r="M55" s="12" t="s">
        <v>170</v>
      </c>
      <c r="N55" s="10" t="s">
        <v>90</v>
      </c>
      <c r="O55" s="11" t="s">
        <v>181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34.5" customHeight="1" x14ac:dyDescent="0.25">
      <c r="A56" s="6">
        <v>25</v>
      </c>
      <c r="B56" s="7">
        <v>1911001</v>
      </c>
      <c r="C56" s="8">
        <v>2021</v>
      </c>
      <c r="D56" s="8" t="s">
        <v>182</v>
      </c>
      <c r="E56" s="8" t="s">
        <v>27</v>
      </c>
      <c r="F56" s="8" t="s">
        <v>183</v>
      </c>
      <c r="G56" s="8" t="s">
        <v>48</v>
      </c>
      <c r="H56" s="9" t="s">
        <v>18</v>
      </c>
      <c r="I56" s="8" t="s">
        <v>19</v>
      </c>
      <c r="J56" s="8" t="s">
        <v>83</v>
      </c>
      <c r="K56" s="10" t="s">
        <v>21</v>
      </c>
      <c r="L56" s="10">
        <v>46358</v>
      </c>
      <c r="M56" s="10">
        <v>46112</v>
      </c>
      <c r="N56" s="10">
        <f t="shared" ref="N56:N66" si="10">L56-120</f>
        <v>46238</v>
      </c>
      <c r="O56" s="11" t="str">
        <f t="shared" ref="O56:O68" ca="1" si="11">IF(L56&gt;TODAY(),"Válida",IF(ISBLANK(L56),"Andamento",IF(L56&lt;TODAY(),"Vencida",IF(L56-TODAY()&lt;90,"URGENTE",IF(L56-TODAY()&lt;150,"RENOVAÇÃO",)))))</f>
        <v>Válida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34.5" customHeight="1" x14ac:dyDescent="0.25">
      <c r="A57" s="6">
        <v>26</v>
      </c>
      <c r="B57" s="7" t="s">
        <v>1762</v>
      </c>
      <c r="C57" s="8">
        <v>2025</v>
      </c>
      <c r="D57" s="8" t="s">
        <v>184</v>
      </c>
      <c r="E57" s="8" t="s">
        <v>185</v>
      </c>
      <c r="F57" s="8" t="s">
        <v>186</v>
      </c>
      <c r="G57" s="8" t="s">
        <v>48</v>
      </c>
      <c r="H57" s="9" t="s">
        <v>18</v>
      </c>
      <c r="I57" s="8" t="s">
        <v>19</v>
      </c>
      <c r="J57" s="8" t="s">
        <v>83</v>
      </c>
      <c r="K57" s="10" t="s">
        <v>21</v>
      </c>
      <c r="L57" s="10">
        <v>46739</v>
      </c>
      <c r="M57" s="10">
        <v>46619</v>
      </c>
      <c r="N57" s="10">
        <f>L57-120</f>
        <v>46619</v>
      </c>
      <c r="O57" s="11" t="str">
        <f t="shared" ca="1" si="11"/>
        <v>Válida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34.5" customHeight="1" x14ac:dyDescent="0.25">
      <c r="A58" s="6">
        <v>26</v>
      </c>
      <c r="B58" s="7" t="s">
        <v>1779</v>
      </c>
      <c r="C58" s="8">
        <v>2025</v>
      </c>
      <c r="D58" s="8" t="s">
        <v>1780</v>
      </c>
      <c r="E58" s="8" t="s">
        <v>27</v>
      </c>
      <c r="F58" s="8" t="s">
        <v>16</v>
      </c>
      <c r="G58" s="8" t="s">
        <v>1028</v>
      </c>
      <c r="H58" s="9"/>
      <c r="I58" s="8" t="s">
        <v>347</v>
      </c>
      <c r="J58" s="8"/>
      <c r="K58" s="10" t="s">
        <v>21</v>
      </c>
      <c r="L58" s="10">
        <v>46423</v>
      </c>
      <c r="M58" s="10">
        <v>46300</v>
      </c>
      <c r="N58" s="10">
        <f>L58-120</f>
        <v>46303</v>
      </c>
      <c r="O58" s="11" t="str">
        <f t="shared" ca="1" si="11"/>
        <v>Válida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34.5" customHeight="1" x14ac:dyDescent="0.25">
      <c r="A59" s="6">
        <v>27</v>
      </c>
      <c r="B59" s="7" t="s">
        <v>1766</v>
      </c>
      <c r="C59" s="8">
        <v>2022</v>
      </c>
      <c r="D59" s="8" t="s">
        <v>187</v>
      </c>
      <c r="E59" s="8" t="s">
        <v>27</v>
      </c>
      <c r="F59" s="8" t="s">
        <v>16</v>
      </c>
      <c r="G59" s="8" t="s">
        <v>17</v>
      </c>
      <c r="H59" s="9" t="s">
        <v>18</v>
      </c>
      <c r="I59" s="8" t="s">
        <v>19</v>
      </c>
      <c r="J59" s="8" t="s">
        <v>83</v>
      </c>
      <c r="K59" s="10" t="s">
        <v>21</v>
      </c>
      <c r="L59" s="10">
        <v>47140</v>
      </c>
      <c r="M59" s="10">
        <v>46409</v>
      </c>
      <c r="N59" s="10">
        <f t="shared" si="10"/>
        <v>47020</v>
      </c>
      <c r="O59" s="11" t="str">
        <f t="shared" ca="1" si="11"/>
        <v>Válida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27"/>
      <c r="AG59" s="28"/>
      <c r="AH59" s="27"/>
      <c r="AI59" s="28"/>
      <c r="AJ59" s="28"/>
      <c r="AK59" s="28"/>
      <c r="AL59" s="28"/>
      <c r="AM59" s="28"/>
    </row>
    <row r="60" spans="1:39" ht="34.5" customHeight="1" x14ac:dyDescent="0.25">
      <c r="A60" s="6">
        <v>28</v>
      </c>
      <c r="B60" s="7">
        <v>388</v>
      </c>
      <c r="C60" s="8">
        <v>2021</v>
      </c>
      <c r="D60" s="8" t="s">
        <v>188</v>
      </c>
      <c r="E60" s="9" t="s">
        <v>185</v>
      </c>
      <c r="F60" s="8" t="s">
        <v>189</v>
      </c>
      <c r="G60" s="8" t="s">
        <v>48</v>
      </c>
      <c r="H60" s="9" t="s">
        <v>18</v>
      </c>
      <c r="I60" s="8" t="s">
        <v>19</v>
      </c>
      <c r="J60" s="8" t="s">
        <v>83</v>
      </c>
      <c r="K60" s="10" t="s">
        <v>21</v>
      </c>
      <c r="L60" s="10">
        <v>46011</v>
      </c>
      <c r="M60" s="10">
        <v>45891</v>
      </c>
      <c r="N60" s="10">
        <f t="shared" si="10"/>
        <v>45891</v>
      </c>
      <c r="O60" s="11" t="str">
        <f t="shared" ca="1" si="11"/>
        <v>Vencida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34.5" customHeight="1" x14ac:dyDescent="0.25">
      <c r="A61" s="6">
        <v>28</v>
      </c>
      <c r="B61" s="7" t="s">
        <v>1768</v>
      </c>
      <c r="C61" s="8">
        <v>2025</v>
      </c>
      <c r="D61" s="8" t="s">
        <v>190</v>
      </c>
      <c r="E61" s="9" t="s">
        <v>185</v>
      </c>
      <c r="F61" s="8" t="s">
        <v>191</v>
      </c>
      <c r="G61" s="8" t="s">
        <v>48</v>
      </c>
      <c r="H61" s="9" t="s">
        <v>18</v>
      </c>
      <c r="I61" s="8" t="s">
        <v>19</v>
      </c>
      <c r="J61" s="8" t="s">
        <v>83</v>
      </c>
      <c r="K61" s="10" t="s">
        <v>21</v>
      </c>
      <c r="L61" s="10">
        <v>47502</v>
      </c>
      <c r="M61" s="10">
        <v>46406</v>
      </c>
      <c r="N61" s="10">
        <f t="shared" si="10"/>
        <v>47382</v>
      </c>
      <c r="O61" s="11" t="str">
        <f t="shared" ca="1" si="11"/>
        <v>Válida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34.5" customHeight="1" x14ac:dyDescent="0.25">
      <c r="A62" s="6">
        <v>29</v>
      </c>
      <c r="B62" s="7">
        <v>247</v>
      </c>
      <c r="C62" s="16">
        <v>2024</v>
      </c>
      <c r="D62" s="16" t="s">
        <v>192</v>
      </c>
      <c r="E62" s="29" t="s">
        <v>185</v>
      </c>
      <c r="F62" s="16" t="s">
        <v>193</v>
      </c>
      <c r="G62" s="16" t="s">
        <v>48</v>
      </c>
      <c r="H62" s="18" t="s">
        <v>18</v>
      </c>
      <c r="I62" s="16" t="s">
        <v>19</v>
      </c>
      <c r="J62" s="16" t="s">
        <v>83</v>
      </c>
      <c r="K62" s="19" t="s">
        <v>21</v>
      </c>
      <c r="L62" s="19">
        <v>47482</v>
      </c>
      <c r="M62" s="19">
        <v>46235</v>
      </c>
      <c r="N62" s="19">
        <f t="shared" si="10"/>
        <v>47362</v>
      </c>
      <c r="O62" s="20" t="str">
        <f t="shared" ca="1" si="11"/>
        <v>Válida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34.5" customHeight="1" x14ac:dyDescent="0.25">
      <c r="A63" s="6">
        <v>30</v>
      </c>
      <c r="B63" s="30">
        <v>4334</v>
      </c>
      <c r="C63" s="9">
        <v>2018</v>
      </c>
      <c r="D63" s="9" t="s">
        <v>194</v>
      </c>
      <c r="E63" s="9" t="s">
        <v>185</v>
      </c>
      <c r="F63" s="9" t="s">
        <v>16</v>
      </c>
      <c r="G63" s="9" t="s">
        <v>195</v>
      </c>
      <c r="H63" s="9" t="s">
        <v>18</v>
      </c>
      <c r="I63" s="9" t="s">
        <v>19</v>
      </c>
      <c r="J63" s="9" t="s">
        <v>83</v>
      </c>
      <c r="K63" s="13" t="s">
        <v>21</v>
      </c>
      <c r="L63" s="13">
        <v>46244</v>
      </c>
      <c r="M63" s="13">
        <v>46124</v>
      </c>
      <c r="N63" s="10">
        <f t="shared" si="10"/>
        <v>46124</v>
      </c>
      <c r="O63" s="11" t="str">
        <f t="shared" ca="1" si="11"/>
        <v>Válida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34.5" customHeight="1" x14ac:dyDescent="0.25">
      <c r="A64" s="6">
        <v>31</v>
      </c>
      <c r="B64" s="30">
        <v>74</v>
      </c>
      <c r="C64" s="9">
        <v>2021</v>
      </c>
      <c r="D64" s="9" t="s">
        <v>196</v>
      </c>
      <c r="E64" s="9" t="s">
        <v>197</v>
      </c>
      <c r="F64" s="9" t="s">
        <v>198</v>
      </c>
      <c r="G64" s="9" t="s">
        <v>48</v>
      </c>
      <c r="H64" s="9" t="s">
        <v>18</v>
      </c>
      <c r="I64" s="9" t="s">
        <v>19</v>
      </c>
      <c r="J64" s="9" t="s">
        <v>83</v>
      </c>
      <c r="K64" s="13" t="s">
        <v>199</v>
      </c>
      <c r="L64" s="13">
        <v>46248</v>
      </c>
      <c r="M64" s="13">
        <v>46128</v>
      </c>
      <c r="N64" s="10">
        <f t="shared" si="10"/>
        <v>46128</v>
      </c>
      <c r="O64" s="11" t="str">
        <f t="shared" ca="1" si="11"/>
        <v>Válida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34.5" customHeight="1" x14ac:dyDescent="0.25">
      <c r="A65" s="6">
        <v>31</v>
      </c>
      <c r="B65" s="30">
        <v>302</v>
      </c>
      <c r="C65" s="9">
        <v>2019</v>
      </c>
      <c r="D65" s="9" t="s">
        <v>200</v>
      </c>
      <c r="E65" s="9" t="s">
        <v>185</v>
      </c>
      <c r="F65" s="9" t="s">
        <v>198</v>
      </c>
      <c r="G65" s="9" t="s">
        <v>48</v>
      </c>
      <c r="H65" s="9" t="s">
        <v>18</v>
      </c>
      <c r="I65" s="9" t="s">
        <v>19</v>
      </c>
      <c r="J65" s="9" t="s">
        <v>201</v>
      </c>
      <c r="K65" s="13" t="s">
        <v>199</v>
      </c>
      <c r="L65" s="13">
        <v>46279</v>
      </c>
      <c r="M65" s="13">
        <v>46159</v>
      </c>
      <c r="N65" s="10">
        <f t="shared" si="10"/>
        <v>46159</v>
      </c>
      <c r="O65" s="11" t="str">
        <f t="shared" ca="1" si="11"/>
        <v>Válida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34.5" customHeight="1" x14ac:dyDescent="0.25">
      <c r="A66" s="6">
        <v>32</v>
      </c>
      <c r="B66" s="30">
        <v>7372</v>
      </c>
      <c r="C66" s="9">
        <v>2023</v>
      </c>
      <c r="D66" s="9" t="s">
        <v>202</v>
      </c>
      <c r="E66" s="9" t="s">
        <v>185</v>
      </c>
      <c r="F66" s="9" t="s">
        <v>203</v>
      </c>
      <c r="G66" s="9" t="s">
        <v>48</v>
      </c>
      <c r="H66" s="9" t="s">
        <v>18</v>
      </c>
      <c r="I66" s="9" t="s">
        <v>19</v>
      </c>
      <c r="J66" s="9" t="s">
        <v>83</v>
      </c>
      <c r="K66" s="13" t="s">
        <v>204</v>
      </c>
      <c r="L66" s="13">
        <v>46656</v>
      </c>
      <c r="M66" s="13">
        <v>46266</v>
      </c>
      <c r="N66" s="10">
        <f t="shared" si="10"/>
        <v>46536</v>
      </c>
      <c r="O66" s="11" t="str">
        <f t="shared" ca="1" si="11"/>
        <v>Válida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34.5" customHeight="1" x14ac:dyDescent="0.25">
      <c r="A67" s="6">
        <v>32</v>
      </c>
      <c r="B67" s="30">
        <v>701</v>
      </c>
      <c r="C67" s="9">
        <v>2024</v>
      </c>
      <c r="D67" s="9" t="s">
        <v>205</v>
      </c>
      <c r="E67" s="9" t="s">
        <v>206</v>
      </c>
      <c r="F67" s="9" t="s">
        <v>203</v>
      </c>
      <c r="G67" s="9" t="s">
        <v>48</v>
      </c>
      <c r="H67" s="9" t="s">
        <v>18</v>
      </c>
      <c r="I67" s="9" t="s">
        <v>49</v>
      </c>
      <c r="J67" s="9" t="s">
        <v>83</v>
      </c>
      <c r="K67" s="13" t="s">
        <v>204</v>
      </c>
      <c r="L67" s="13">
        <v>46022</v>
      </c>
      <c r="M67" s="13" t="s">
        <v>207</v>
      </c>
      <c r="N67" s="10" t="s">
        <v>207</v>
      </c>
      <c r="O67" s="11" t="str">
        <f t="shared" ca="1" si="11"/>
        <v>Vencida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34.5" customHeight="1" x14ac:dyDescent="0.25">
      <c r="A68" s="6">
        <v>33</v>
      </c>
      <c r="B68" s="30">
        <v>239</v>
      </c>
      <c r="C68" s="29">
        <v>2019</v>
      </c>
      <c r="D68" s="29" t="s">
        <v>208</v>
      </c>
      <c r="E68" s="29" t="s">
        <v>206</v>
      </c>
      <c r="F68" s="29" t="s">
        <v>209</v>
      </c>
      <c r="G68" s="29" t="s">
        <v>48</v>
      </c>
      <c r="H68" s="18" t="s">
        <v>18</v>
      </c>
      <c r="I68" s="29" t="s">
        <v>49</v>
      </c>
      <c r="J68" s="29" t="s">
        <v>83</v>
      </c>
      <c r="K68" s="29" t="s">
        <v>210</v>
      </c>
      <c r="L68" s="31" t="s">
        <v>90</v>
      </c>
      <c r="M68" s="31" t="s">
        <v>90</v>
      </c>
      <c r="N68" s="31" t="s">
        <v>90</v>
      </c>
      <c r="O68" s="20" t="str">
        <f t="shared" ca="1" si="11"/>
        <v>Válida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34.5" customHeight="1" x14ac:dyDescent="0.25">
      <c r="A69" s="6">
        <v>33</v>
      </c>
      <c r="B69" s="30">
        <v>369</v>
      </c>
      <c r="C69" s="9">
        <v>2025</v>
      </c>
      <c r="D69" s="9" t="s">
        <v>211</v>
      </c>
      <c r="E69" s="9" t="s">
        <v>206</v>
      </c>
      <c r="F69" s="9" t="s">
        <v>212</v>
      </c>
      <c r="G69" s="9" t="s">
        <v>213</v>
      </c>
      <c r="H69" s="9" t="s">
        <v>18</v>
      </c>
      <c r="I69" s="9" t="s">
        <v>49</v>
      </c>
      <c r="J69" s="9" t="s">
        <v>83</v>
      </c>
      <c r="K69" s="13" t="s">
        <v>21</v>
      </c>
      <c r="L69" s="13">
        <v>46183</v>
      </c>
      <c r="M69" s="13">
        <v>46122</v>
      </c>
      <c r="N69" s="10">
        <v>46122</v>
      </c>
      <c r="O69" s="11" t="s">
        <v>30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34.5" customHeight="1" x14ac:dyDescent="0.25">
      <c r="A70" s="6">
        <v>33</v>
      </c>
      <c r="B70" s="30">
        <v>32</v>
      </c>
      <c r="C70" s="18">
        <v>2022</v>
      </c>
      <c r="D70" s="18" t="s">
        <v>214</v>
      </c>
      <c r="E70" s="18" t="s">
        <v>215</v>
      </c>
      <c r="F70" s="18" t="s">
        <v>216</v>
      </c>
      <c r="G70" s="18" t="s">
        <v>217</v>
      </c>
      <c r="H70" s="18" t="s">
        <v>18</v>
      </c>
      <c r="I70" s="18" t="s">
        <v>19</v>
      </c>
      <c r="J70" s="18" t="s">
        <v>83</v>
      </c>
      <c r="K70" s="32" t="s">
        <v>218</v>
      </c>
      <c r="L70" s="32">
        <v>46208</v>
      </c>
      <c r="M70" s="32">
        <v>45839</v>
      </c>
      <c r="N70" s="19">
        <f>L70-120</f>
        <v>46088</v>
      </c>
      <c r="O70" s="20" t="str">
        <f t="shared" ref="O70:O72" ca="1" si="12">IF(L70&gt;TODAY(),"Válida",IF(ISBLANK(L70),"Andamento",IF(L70&lt;TODAY(),"Vencida",IF(L70-TODAY()&lt;90,"URGENTE",IF(L70-TODAY()&lt;150,"RENOVAÇÃO",)))))</f>
        <v>Válida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34.5" customHeight="1" x14ac:dyDescent="0.25">
      <c r="A71" s="6">
        <v>33</v>
      </c>
      <c r="B71" s="30">
        <v>67</v>
      </c>
      <c r="C71" s="9">
        <v>2023</v>
      </c>
      <c r="D71" s="9" t="s">
        <v>219</v>
      </c>
      <c r="E71" s="9" t="s">
        <v>206</v>
      </c>
      <c r="F71" s="9" t="s">
        <v>216</v>
      </c>
      <c r="G71" s="9" t="s">
        <v>48</v>
      </c>
      <c r="H71" s="9"/>
      <c r="I71" s="9" t="s">
        <v>19</v>
      </c>
      <c r="J71" s="9"/>
      <c r="K71" s="13" t="s">
        <v>218</v>
      </c>
      <c r="L71" s="13">
        <v>46582</v>
      </c>
      <c r="M71" s="13">
        <v>45839</v>
      </c>
      <c r="N71" s="10">
        <v>46460</v>
      </c>
      <c r="O71" s="11" t="str">
        <f t="shared" ca="1" si="12"/>
        <v>Válida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34.5" customHeight="1" x14ac:dyDescent="0.25">
      <c r="A72" s="6">
        <v>33</v>
      </c>
      <c r="B72" s="30">
        <v>53</v>
      </c>
      <c r="C72" s="9">
        <v>2024</v>
      </c>
      <c r="D72" s="9" t="s">
        <v>220</v>
      </c>
      <c r="E72" s="9" t="s">
        <v>221</v>
      </c>
      <c r="F72" s="9" t="s">
        <v>216</v>
      </c>
      <c r="G72" s="9" t="s">
        <v>48</v>
      </c>
      <c r="H72" s="9"/>
      <c r="I72" s="9" t="s">
        <v>40</v>
      </c>
      <c r="J72" s="9"/>
      <c r="K72" s="13" t="s">
        <v>218</v>
      </c>
      <c r="L72" s="13">
        <v>46303</v>
      </c>
      <c r="M72" s="13">
        <v>46181</v>
      </c>
      <c r="N72" s="10">
        <v>46181</v>
      </c>
      <c r="O72" s="11" t="str">
        <f t="shared" ca="1" si="12"/>
        <v>Válida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34.5" customHeight="1" x14ac:dyDescent="0.25">
      <c r="A73" s="6">
        <v>33</v>
      </c>
      <c r="B73" s="30">
        <v>133</v>
      </c>
      <c r="C73" s="9">
        <v>2025</v>
      </c>
      <c r="D73" s="9" t="s">
        <v>222</v>
      </c>
      <c r="E73" s="9" t="s">
        <v>206</v>
      </c>
      <c r="F73" s="9" t="s">
        <v>223</v>
      </c>
      <c r="G73" s="9" t="s">
        <v>224</v>
      </c>
      <c r="H73" s="9" t="s">
        <v>18</v>
      </c>
      <c r="I73" s="9" t="s">
        <v>19</v>
      </c>
      <c r="J73" s="9" t="s">
        <v>83</v>
      </c>
      <c r="K73" s="13" t="s">
        <v>21</v>
      </c>
      <c r="L73" s="13">
        <v>46520</v>
      </c>
      <c r="M73" s="13">
        <v>46155</v>
      </c>
      <c r="N73" s="10">
        <f t="shared" ref="N73:N76" si="13">L73-120</f>
        <v>46400</v>
      </c>
      <c r="O73" s="11" t="s">
        <v>30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34.5" customHeight="1" x14ac:dyDescent="0.25">
      <c r="A74" s="6">
        <v>34</v>
      </c>
      <c r="B74" s="7">
        <v>3574</v>
      </c>
      <c r="C74" s="8">
        <v>2016</v>
      </c>
      <c r="D74" s="8" t="s">
        <v>225</v>
      </c>
      <c r="E74" s="8" t="s">
        <v>226</v>
      </c>
      <c r="F74" s="8" t="s">
        <v>16</v>
      </c>
      <c r="G74" s="8" t="s">
        <v>227</v>
      </c>
      <c r="H74" s="9" t="s">
        <v>18</v>
      </c>
      <c r="I74" s="8" t="s">
        <v>19</v>
      </c>
      <c r="J74" s="8" t="s">
        <v>228</v>
      </c>
      <c r="K74" s="10" t="s">
        <v>21</v>
      </c>
      <c r="L74" s="10">
        <v>47231</v>
      </c>
      <c r="M74" s="10">
        <v>46499</v>
      </c>
      <c r="N74" s="10">
        <f t="shared" si="13"/>
        <v>47111</v>
      </c>
      <c r="O74" s="11" t="str">
        <f t="shared" ref="O74:O80" ca="1" si="14">IF(L74&gt;TODAY(),"Válida",IF(ISBLANK(L74),"Andamento",IF(L74&lt;TODAY(),"Vencida",IF(L74-TODAY()&lt;90,"URGENTE",IF(L74-TODAY()&lt;150,"RENOVAÇÃO",)))))</f>
        <v>Válida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34.5" customHeight="1" x14ac:dyDescent="0.25">
      <c r="A75" s="6">
        <v>35</v>
      </c>
      <c r="B75" s="7">
        <v>3045</v>
      </c>
      <c r="C75" s="8">
        <v>2014</v>
      </c>
      <c r="D75" s="8" t="s">
        <v>229</v>
      </c>
      <c r="E75" s="8" t="s">
        <v>230</v>
      </c>
      <c r="F75" s="8" t="s">
        <v>16</v>
      </c>
      <c r="G75" s="8" t="s">
        <v>227</v>
      </c>
      <c r="H75" s="9" t="s">
        <v>18</v>
      </c>
      <c r="I75" s="8" t="s">
        <v>19</v>
      </c>
      <c r="J75" s="8" t="s">
        <v>231</v>
      </c>
      <c r="K75" s="10" t="s">
        <v>21</v>
      </c>
      <c r="L75" s="10">
        <v>45290</v>
      </c>
      <c r="M75" s="10">
        <v>45170</v>
      </c>
      <c r="N75" s="10">
        <f t="shared" si="13"/>
        <v>45170</v>
      </c>
      <c r="O75" s="11" t="str">
        <f t="shared" ca="1" si="14"/>
        <v>Vencida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34.5" customHeight="1" x14ac:dyDescent="0.25">
      <c r="A76" s="6">
        <v>35</v>
      </c>
      <c r="B76" s="7">
        <v>4650</v>
      </c>
      <c r="C76" s="21">
        <v>2019</v>
      </c>
      <c r="D76" s="8" t="s">
        <v>232</v>
      </c>
      <c r="E76" s="8" t="s">
        <v>233</v>
      </c>
      <c r="F76" s="8" t="s">
        <v>16</v>
      </c>
      <c r="G76" s="8" t="s">
        <v>63</v>
      </c>
      <c r="H76" s="9" t="s">
        <v>18</v>
      </c>
      <c r="I76" s="8" t="s">
        <v>19</v>
      </c>
      <c r="J76" s="8" t="s">
        <v>228</v>
      </c>
      <c r="K76" s="10" t="s">
        <v>21</v>
      </c>
      <c r="L76" s="10">
        <v>47147</v>
      </c>
      <c r="M76" s="10">
        <v>46416</v>
      </c>
      <c r="N76" s="10">
        <f t="shared" si="13"/>
        <v>47027</v>
      </c>
      <c r="O76" s="11" t="str">
        <f t="shared" ca="1" si="14"/>
        <v>Válida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34.5" customHeight="1" x14ac:dyDescent="0.25">
      <c r="A77" s="6">
        <v>36</v>
      </c>
      <c r="B77" s="7">
        <v>3021</v>
      </c>
      <c r="C77" s="21">
        <v>2014</v>
      </c>
      <c r="D77" s="8" t="s">
        <v>234</v>
      </c>
      <c r="E77" s="8" t="s">
        <v>235</v>
      </c>
      <c r="F77" s="8" t="s">
        <v>16</v>
      </c>
      <c r="G77" s="8" t="s">
        <v>195</v>
      </c>
      <c r="H77" s="9" t="s">
        <v>18</v>
      </c>
      <c r="I77" s="8" t="s">
        <v>40</v>
      </c>
      <c r="J77" s="8" t="s">
        <v>236</v>
      </c>
      <c r="K77" s="10" t="s">
        <v>21</v>
      </c>
      <c r="L77" s="10">
        <v>46177</v>
      </c>
      <c r="M77" s="10">
        <v>46057</v>
      </c>
      <c r="N77" s="10">
        <v>46057</v>
      </c>
      <c r="O77" s="11" t="str">
        <f t="shared" ca="1" si="14"/>
        <v>Válida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34.5" customHeight="1" x14ac:dyDescent="0.25">
      <c r="A78" s="6">
        <v>37</v>
      </c>
      <c r="B78" s="7">
        <v>158</v>
      </c>
      <c r="C78" s="8">
        <v>2024</v>
      </c>
      <c r="D78" s="8" t="s">
        <v>234</v>
      </c>
      <c r="E78" s="8" t="s">
        <v>237</v>
      </c>
      <c r="F78" s="8" t="s">
        <v>238</v>
      </c>
      <c r="G78" s="8" t="s">
        <v>67</v>
      </c>
      <c r="H78" s="9" t="s">
        <v>18</v>
      </c>
      <c r="I78" s="21" t="s">
        <v>40</v>
      </c>
      <c r="J78" s="8" t="s">
        <v>236</v>
      </c>
      <c r="K78" s="10" t="s">
        <v>21</v>
      </c>
      <c r="L78" s="10">
        <v>46345</v>
      </c>
      <c r="M78" s="10">
        <v>46225</v>
      </c>
      <c r="N78" s="10">
        <f t="shared" ref="N78:N96" si="15">L78-120</f>
        <v>46225</v>
      </c>
      <c r="O78" s="11" t="str">
        <f t="shared" ca="1" si="14"/>
        <v>Válida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34.5" customHeight="1" x14ac:dyDescent="0.25">
      <c r="A79" s="6">
        <v>38</v>
      </c>
      <c r="B79" s="7">
        <v>282</v>
      </c>
      <c r="C79" s="8">
        <v>2025</v>
      </c>
      <c r="D79" s="8" t="s">
        <v>239</v>
      </c>
      <c r="E79" s="8" t="s">
        <v>27</v>
      </c>
      <c r="F79" s="8" t="s">
        <v>212</v>
      </c>
      <c r="G79" s="8" t="s">
        <v>240</v>
      </c>
      <c r="H79" s="9" t="s">
        <v>18</v>
      </c>
      <c r="I79" s="8" t="s">
        <v>19</v>
      </c>
      <c r="J79" s="9" t="s">
        <v>201</v>
      </c>
      <c r="K79" s="10" t="s">
        <v>21</v>
      </c>
      <c r="L79" s="10">
        <v>46857</v>
      </c>
      <c r="M79" s="33">
        <v>46126</v>
      </c>
      <c r="N79" s="10">
        <f t="shared" si="15"/>
        <v>46737</v>
      </c>
      <c r="O79" s="11" t="str">
        <f t="shared" ca="1" si="14"/>
        <v>Válida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34.5" customHeight="1" x14ac:dyDescent="0.25">
      <c r="A80" s="6">
        <v>39</v>
      </c>
      <c r="B80" s="7">
        <v>2326</v>
      </c>
      <c r="C80" s="8">
        <v>2012</v>
      </c>
      <c r="D80" s="8" t="s">
        <v>241</v>
      </c>
      <c r="E80" s="8" t="s">
        <v>242</v>
      </c>
      <c r="F80" s="8" t="s">
        <v>16</v>
      </c>
      <c r="G80" s="8" t="s">
        <v>17</v>
      </c>
      <c r="H80" s="9" t="s">
        <v>18</v>
      </c>
      <c r="I80" s="8" t="s">
        <v>19</v>
      </c>
      <c r="J80" s="8" t="s">
        <v>243</v>
      </c>
      <c r="K80" s="10" t="s">
        <v>21</v>
      </c>
      <c r="L80" s="10">
        <v>45645</v>
      </c>
      <c r="M80" s="10">
        <v>45525</v>
      </c>
      <c r="N80" s="10">
        <f t="shared" si="15"/>
        <v>45525</v>
      </c>
      <c r="O80" s="11" t="str">
        <f t="shared" ca="1" si="14"/>
        <v>Vencida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34.5" customHeight="1" x14ac:dyDescent="0.25">
      <c r="A81" s="6">
        <v>40</v>
      </c>
      <c r="B81" s="7">
        <v>151</v>
      </c>
      <c r="C81" s="21">
        <v>2015</v>
      </c>
      <c r="D81" s="8" t="s">
        <v>244</v>
      </c>
      <c r="E81" s="8" t="s">
        <v>245</v>
      </c>
      <c r="F81" s="8" t="s">
        <v>198</v>
      </c>
      <c r="G81" s="8" t="s">
        <v>67</v>
      </c>
      <c r="H81" s="9" t="s">
        <v>18</v>
      </c>
      <c r="I81" s="8" t="s">
        <v>19</v>
      </c>
      <c r="J81" s="8" t="s">
        <v>59</v>
      </c>
      <c r="K81" s="10" t="s">
        <v>21</v>
      </c>
      <c r="L81" s="10">
        <v>44779</v>
      </c>
      <c r="M81" s="10">
        <v>44659</v>
      </c>
      <c r="N81" s="10">
        <f t="shared" si="15"/>
        <v>44659</v>
      </c>
      <c r="O81" s="11" t="s">
        <v>246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34.5" customHeight="1" x14ac:dyDescent="0.25">
      <c r="A82" s="6">
        <v>41</v>
      </c>
      <c r="B82" s="7" t="s">
        <v>1769</v>
      </c>
      <c r="C82" s="21">
        <v>2026</v>
      </c>
      <c r="D82" s="8" t="s">
        <v>247</v>
      </c>
      <c r="E82" s="21" t="s">
        <v>248</v>
      </c>
      <c r="F82" s="8" t="s">
        <v>249</v>
      </c>
      <c r="G82" s="8" t="s">
        <v>48</v>
      </c>
      <c r="H82" s="9" t="s">
        <v>18</v>
      </c>
      <c r="I82" s="8" t="s">
        <v>19</v>
      </c>
      <c r="J82" s="8" t="s">
        <v>250</v>
      </c>
      <c r="K82" s="10" t="s">
        <v>21</v>
      </c>
      <c r="L82" s="10">
        <v>47118</v>
      </c>
      <c r="M82" s="10">
        <v>46413</v>
      </c>
      <c r="N82" s="10">
        <f t="shared" si="15"/>
        <v>46998</v>
      </c>
      <c r="O82" s="11" t="str">
        <f t="shared" ref="O82:O84" ca="1" si="16">IF(L82&gt;TODAY(),"Válida",IF(ISBLANK(L82),"Andamento",IF(L82&lt;TODAY(),"Vencida",IF(L82-TODAY()&lt;90,"URGENTE",IF(L82-TODAY()&lt;150,"RENOVAÇÃO",)))))</f>
        <v>Válida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34.5" customHeight="1" x14ac:dyDescent="0.25">
      <c r="A83" s="6">
        <v>42</v>
      </c>
      <c r="B83" s="7">
        <v>4469</v>
      </c>
      <c r="C83" s="21">
        <v>2016</v>
      </c>
      <c r="D83" s="8" t="s">
        <v>251</v>
      </c>
      <c r="E83" s="8" t="s">
        <v>252</v>
      </c>
      <c r="F83" s="8" t="s">
        <v>253</v>
      </c>
      <c r="G83" s="8" t="s">
        <v>254</v>
      </c>
      <c r="H83" s="9" t="s">
        <v>18</v>
      </c>
      <c r="I83" s="8" t="s">
        <v>19</v>
      </c>
      <c r="J83" s="8" t="s">
        <v>255</v>
      </c>
      <c r="K83" s="10" t="s">
        <v>21</v>
      </c>
      <c r="L83" s="10">
        <v>46460</v>
      </c>
      <c r="M83" s="10">
        <v>46340</v>
      </c>
      <c r="N83" s="10">
        <f t="shared" si="15"/>
        <v>46340</v>
      </c>
      <c r="O83" s="11" t="str">
        <f t="shared" ca="1" si="16"/>
        <v>Válida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34.5" customHeight="1" x14ac:dyDescent="0.25">
      <c r="A84" s="6">
        <v>43</v>
      </c>
      <c r="B84" s="7">
        <v>5922</v>
      </c>
      <c r="C84" s="8">
        <v>2021</v>
      </c>
      <c r="D84" s="8" t="s">
        <v>256</v>
      </c>
      <c r="E84" s="8" t="s">
        <v>257</v>
      </c>
      <c r="F84" s="8" t="s">
        <v>16</v>
      </c>
      <c r="G84" s="8" t="s">
        <v>258</v>
      </c>
      <c r="H84" s="9" t="s">
        <v>18</v>
      </c>
      <c r="I84" s="8" t="s">
        <v>19</v>
      </c>
      <c r="J84" s="8" t="s">
        <v>259</v>
      </c>
      <c r="K84" s="8" t="s">
        <v>21</v>
      </c>
      <c r="L84" s="10">
        <v>46120</v>
      </c>
      <c r="M84" s="10">
        <v>46000</v>
      </c>
      <c r="N84" s="10">
        <f t="shared" si="15"/>
        <v>46000</v>
      </c>
      <c r="O84" s="11" t="str">
        <f t="shared" ca="1" si="16"/>
        <v>Válida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34.5" customHeight="1" x14ac:dyDescent="0.25">
      <c r="A85" s="6">
        <v>44</v>
      </c>
      <c r="B85" s="7">
        <v>12372</v>
      </c>
      <c r="C85" s="8">
        <v>2023</v>
      </c>
      <c r="D85" s="8" t="s">
        <v>260</v>
      </c>
      <c r="E85" s="8" t="s">
        <v>261</v>
      </c>
      <c r="F85" s="8" t="s">
        <v>16</v>
      </c>
      <c r="G85" s="8" t="s">
        <v>17</v>
      </c>
      <c r="H85" s="9"/>
      <c r="I85" s="8" t="s">
        <v>19</v>
      </c>
      <c r="J85" s="8"/>
      <c r="K85" s="10" t="s">
        <v>262</v>
      </c>
      <c r="L85" s="10">
        <v>46551</v>
      </c>
      <c r="M85" s="10">
        <v>45809</v>
      </c>
      <c r="N85" s="10">
        <f t="shared" si="15"/>
        <v>46431</v>
      </c>
      <c r="O85" s="11" t="s">
        <v>30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34.5" customHeight="1" x14ac:dyDescent="0.25">
      <c r="A86" s="6">
        <v>45</v>
      </c>
      <c r="B86" s="7">
        <v>4124</v>
      </c>
      <c r="C86" s="8">
        <v>2019</v>
      </c>
      <c r="D86" s="8" t="s">
        <v>263</v>
      </c>
      <c r="E86" s="8" t="s">
        <v>264</v>
      </c>
      <c r="F86" s="8" t="s">
        <v>16</v>
      </c>
      <c r="G86" s="8" t="s">
        <v>58</v>
      </c>
      <c r="H86" s="9" t="s">
        <v>18</v>
      </c>
      <c r="I86" s="8" t="s">
        <v>19</v>
      </c>
      <c r="J86" s="8" t="s">
        <v>265</v>
      </c>
      <c r="K86" s="8" t="s">
        <v>21</v>
      </c>
      <c r="L86" s="10">
        <v>46286</v>
      </c>
      <c r="M86" s="10">
        <v>46166</v>
      </c>
      <c r="N86" s="10">
        <f t="shared" si="15"/>
        <v>46166</v>
      </c>
      <c r="O86" s="11" t="s">
        <v>30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34.5" customHeight="1" x14ac:dyDescent="0.25">
      <c r="A87" s="6">
        <v>46</v>
      </c>
      <c r="B87" s="7">
        <v>7104</v>
      </c>
      <c r="C87" s="21">
        <v>2022</v>
      </c>
      <c r="D87" s="8" t="s">
        <v>266</v>
      </c>
      <c r="E87" s="8" t="s">
        <v>267</v>
      </c>
      <c r="F87" s="8" t="s">
        <v>104</v>
      </c>
      <c r="G87" s="8" t="s">
        <v>268</v>
      </c>
      <c r="H87" s="9" t="s">
        <v>18</v>
      </c>
      <c r="I87" s="8" t="s">
        <v>19</v>
      </c>
      <c r="J87" s="8" t="s">
        <v>269</v>
      </c>
      <c r="K87" s="10" t="s">
        <v>21</v>
      </c>
      <c r="L87" s="10">
        <v>46410</v>
      </c>
      <c r="M87" s="10">
        <v>46290</v>
      </c>
      <c r="N87" s="10">
        <f t="shared" si="15"/>
        <v>46290</v>
      </c>
      <c r="O87" s="11" t="s">
        <v>30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34.5" customHeight="1" x14ac:dyDescent="0.25">
      <c r="A88" s="6">
        <v>47</v>
      </c>
      <c r="B88" s="7">
        <v>25179</v>
      </c>
      <c r="C88" s="34">
        <v>2022</v>
      </c>
      <c r="D88" s="16" t="s">
        <v>270</v>
      </c>
      <c r="E88" s="16" t="s">
        <v>267</v>
      </c>
      <c r="F88" s="16" t="s">
        <v>271</v>
      </c>
      <c r="G88" s="16" t="s">
        <v>272</v>
      </c>
      <c r="H88" s="18"/>
      <c r="I88" s="16" t="s">
        <v>19</v>
      </c>
      <c r="J88" s="16"/>
      <c r="K88" s="19" t="s">
        <v>273</v>
      </c>
      <c r="L88" s="19">
        <v>45451</v>
      </c>
      <c r="M88" s="19">
        <v>45331</v>
      </c>
      <c r="N88" s="19">
        <f t="shared" si="15"/>
        <v>45331</v>
      </c>
      <c r="O88" s="20" t="str">
        <f t="shared" ref="O88:O92" ca="1" si="17">IF(L88&gt;TODAY(),"Válida",IF(ISBLANK(L88),"Andamento",IF(L88&lt;TODAY(),"Vencida",IF(L88-TODAY()&lt;90,"URGENTE",IF(L88-TODAY()&lt;150,"RENOVAÇÃO",)))))</f>
        <v>Vencida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34.5" customHeight="1" x14ac:dyDescent="0.25">
      <c r="A89" s="6">
        <v>47</v>
      </c>
      <c r="B89" s="7">
        <v>39578</v>
      </c>
      <c r="C89" s="34">
        <v>2022</v>
      </c>
      <c r="D89" s="16" t="s">
        <v>274</v>
      </c>
      <c r="E89" s="16" t="s">
        <v>267</v>
      </c>
      <c r="F89" s="16" t="s">
        <v>271</v>
      </c>
      <c r="G89" s="16" t="s">
        <v>272</v>
      </c>
      <c r="H89" s="18"/>
      <c r="I89" s="16" t="s">
        <v>19</v>
      </c>
      <c r="J89" s="16"/>
      <c r="K89" s="19" t="s">
        <v>273</v>
      </c>
      <c r="L89" s="19">
        <v>45562</v>
      </c>
      <c r="M89" s="19">
        <v>45442</v>
      </c>
      <c r="N89" s="19">
        <f t="shared" si="15"/>
        <v>45442</v>
      </c>
      <c r="O89" s="20" t="str">
        <f t="shared" ca="1" si="17"/>
        <v>Vencida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34.5" customHeight="1" x14ac:dyDescent="0.25">
      <c r="A90" s="6">
        <v>47</v>
      </c>
      <c r="B90" s="7">
        <v>246</v>
      </c>
      <c r="C90" s="8">
        <v>2024</v>
      </c>
      <c r="D90" s="8" t="s">
        <v>275</v>
      </c>
      <c r="E90" s="8" t="s">
        <v>185</v>
      </c>
      <c r="F90" s="8" t="s">
        <v>276</v>
      </c>
      <c r="G90" s="8" t="s">
        <v>277</v>
      </c>
      <c r="H90" s="9" t="s">
        <v>18</v>
      </c>
      <c r="I90" s="8" t="s">
        <v>19</v>
      </c>
      <c r="J90" s="8" t="s">
        <v>59</v>
      </c>
      <c r="K90" s="10" t="s">
        <v>21</v>
      </c>
      <c r="L90" s="10">
        <v>46120</v>
      </c>
      <c r="M90" s="10">
        <v>46000</v>
      </c>
      <c r="N90" s="10">
        <f t="shared" si="15"/>
        <v>46000</v>
      </c>
      <c r="O90" s="11" t="str">
        <f t="shared" ca="1" si="17"/>
        <v>Válida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34.5" customHeight="1" x14ac:dyDescent="0.25">
      <c r="A91" s="6">
        <v>47</v>
      </c>
      <c r="B91" s="7">
        <v>90</v>
      </c>
      <c r="C91" s="16">
        <v>2024</v>
      </c>
      <c r="D91" s="16" t="s">
        <v>278</v>
      </c>
      <c r="E91" s="16" t="s">
        <v>279</v>
      </c>
      <c r="F91" s="16" t="s">
        <v>280</v>
      </c>
      <c r="G91" s="16" t="s">
        <v>281</v>
      </c>
      <c r="H91" s="18" t="s">
        <v>18</v>
      </c>
      <c r="I91" s="16" t="s">
        <v>19</v>
      </c>
      <c r="J91" s="16" t="s">
        <v>282</v>
      </c>
      <c r="K91" s="17" t="s">
        <v>21</v>
      </c>
      <c r="L91" s="19">
        <v>47114</v>
      </c>
      <c r="M91" s="19">
        <v>46292</v>
      </c>
      <c r="N91" s="19">
        <f t="shared" si="15"/>
        <v>46994</v>
      </c>
      <c r="O91" s="20" t="str">
        <f t="shared" ca="1" si="17"/>
        <v>Válida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34.5" customHeight="1" x14ac:dyDescent="0.25">
      <c r="A92" s="6">
        <v>47</v>
      </c>
      <c r="B92" s="7">
        <v>53</v>
      </c>
      <c r="C92" s="16">
        <v>2024</v>
      </c>
      <c r="D92" s="16" t="s">
        <v>283</v>
      </c>
      <c r="E92" s="16" t="s">
        <v>284</v>
      </c>
      <c r="F92" s="16" t="s">
        <v>280</v>
      </c>
      <c r="G92" s="16" t="s">
        <v>285</v>
      </c>
      <c r="H92" s="18"/>
      <c r="I92" s="16" t="s">
        <v>19</v>
      </c>
      <c r="J92" s="16"/>
      <c r="K92" s="17" t="s">
        <v>21</v>
      </c>
      <c r="L92" s="19">
        <v>46992</v>
      </c>
      <c r="M92" s="19">
        <v>46235</v>
      </c>
      <c r="N92" s="19">
        <f t="shared" si="15"/>
        <v>46872</v>
      </c>
      <c r="O92" s="20" t="str">
        <f t="shared" ca="1" si="17"/>
        <v>Válida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34.5" customHeight="1" x14ac:dyDescent="0.25">
      <c r="A93" s="6">
        <v>47</v>
      </c>
      <c r="B93" s="7">
        <v>199</v>
      </c>
      <c r="C93" s="8">
        <v>2020</v>
      </c>
      <c r="D93" s="35" t="s">
        <v>286</v>
      </c>
      <c r="E93" s="8" t="s">
        <v>88</v>
      </c>
      <c r="F93" s="8" t="s">
        <v>238</v>
      </c>
      <c r="G93" s="8" t="s">
        <v>287</v>
      </c>
      <c r="H93" s="9" t="s">
        <v>18</v>
      </c>
      <c r="I93" s="8" t="s">
        <v>40</v>
      </c>
      <c r="J93" s="8" t="s">
        <v>282</v>
      </c>
      <c r="K93" s="10" t="s">
        <v>21</v>
      </c>
      <c r="L93" s="10">
        <v>44882</v>
      </c>
      <c r="M93" s="10">
        <v>44762</v>
      </c>
      <c r="N93" s="10">
        <f t="shared" si="15"/>
        <v>44762</v>
      </c>
      <c r="O93" s="11" t="s">
        <v>246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34.5" customHeight="1" x14ac:dyDescent="0.25">
      <c r="A94" s="6">
        <v>47</v>
      </c>
      <c r="B94" s="7">
        <v>71</v>
      </c>
      <c r="C94" s="8">
        <v>2021</v>
      </c>
      <c r="D94" s="8" t="s">
        <v>288</v>
      </c>
      <c r="E94" s="8" t="s">
        <v>267</v>
      </c>
      <c r="F94" s="8" t="s">
        <v>289</v>
      </c>
      <c r="G94" s="8" t="s">
        <v>48</v>
      </c>
      <c r="H94" s="9"/>
      <c r="I94" s="8" t="s">
        <v>19</v>
      </c>
      <c r="J94" s="8"/>
      <c r="K94" s="8" t="s">
        <v>21</v>
      </c>
      <c r="L94" s="10">
        <v>46059</v>
      </c>
      <c r="M94" s="10">
        <v>45939</v>
      </c>
      <c r="N94" s="10">
        <f t="shared" si="15"/>
        <v>45939</v>
      </c>
      <c r="O94" s="11" t="s">
        <v>30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34.5" customHeight="1" x14ac:dyDescent="0.25">
      <c r="A95" s="6">
        <v>47</v>
      </c>
      <c r="B95" s="7">
        <v>161</v>
      </c>
      <c r="C95" s="8">
        <v>2023</v>
      </c>
      <c r="D95" s="8" t="s">
        <v>290</v>
      </c>
      <c r="E95" s="8" t="s">
        <v>267</v>
      </c>
      <c r="F95" s="8" t="s">
        <v>289</v>
      </c>
      <c r="G95" s="8" t="s">
        <v>291</v>
      </c>
      <c r="H95" s="9"/>
      <c r="I95" s="8" t="s">
        <v>19</v>
      </c>
      <c r="J95" s="8"/>
      <c r="K95" s="8" t="s">
        <v>21</v>
      </c>
      <c r="L95" s="10">
        <v>46895</v>
      </c>
      <c r="M95" s="10">
        <v>46164</v>
      </c>
      <c r="N95" s="10">
        <f t="shared" si="15"/>
        <v>46775</v>
      </c>
      <c r="O95" s="11" t="s">
        <v>30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34.5" customHeight="1" x14ac:dyDescent="0.25">
      <c r="A96" s="6">
        <v>47</v>
      </c>
      <c r="B96" s="7">
        <v>327</v>
      </c>
      <c r="C96" s="8">
        <v>2025</v>
      </c>
      <c r="D96" s="8" t="s">
        <v>292</v>
      </c>
      <c r="E96" s="8" t="s">
        <v>267</v>
      </c>
      <c r="F96" s="8" t="s">
        <v>293</v>
      </c>
      <c r="G96" s="8" t="s">
        <v>48</v>
      </c>
      <c r="H96" s="9" t="s">
        <v>18</v>
      </c>
      <c r="I96" s="8" t="s">
        <v>40</v>
      </c>
      <c r="J96" s="8" t="s">
        <v>282</v>
      </c>
      <c r="K96" s="10" t="s">
        <v>21</v>
      </c>
      <c r="L96" s="10">
        <v>46176</v>
      </c>
      <c r="M96" s="10">
        <v>46056</v>
      </c>
      <c r="N96" s="10">
        <f t="shared" si="15"/>
        <v>46056</v>
      </c>
      <c r="O96" s="11" t="s">
        <v>30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34.5" customHeight="1" x14ac:dyDescent="0.25">
      <c r="A97" s="6">
        <v>48</v>
      </c>
      <c r="B97" s="7">
        <v>4304</v>
      </c>
      <c r="C97" s="16">
        <v>2022</v>
      </c>
      <c r="D97" s="16" t="s">
        <v>286</v>
      </c>
      <c r="E97" s="16" t="s">
        <v>294</v>
      </c>
      <c r="F97" s="16" t="s">
        <v>295</v>
      </c>
      <c r="G97" s="16" t="s">
        <v>133</v>
      </c>
      <c r="H97" s="18"/>
      <c r="I97" s="16" t="s">
        <v>40</v>
      </c>
      <c r="J97" s="16"/>
      <c r="K97" s="19" t="s">
        <v>21</v>
      </c>
      <c r="L97" s="19">
        <v>45638</v>
      </c>
      <c r="M97" s="19">
        <v>45638</v>
      </c>
      <c r="N97" s="19">
        <v>45638</v>
      </c>
      <c r="O97" s="20" t="str">
        <f ca="1">IF(L97&gt;TODAY(),"Válida",IF(ISBLANK(L97),"Andamento",IF(L97&lt;TODAY(),"Vencida",IF(L97-TODAY()&lt;90,"URGENTE",IF(L97-TODAY()&lt;150,"RENOVAÇÃO",)))))</f>
        <v>Vencida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34.5" customHeight="1" x14ac:dyDescent="0.25">
      <c r="A98" s="6">
        <v>48</v>
      </c>
      <c r="B98" s="7">
        <v>583</v>
      </c>
      <c r="C98" s="16">
        <v>2023</v>
      </c>
      <c r="D98" s="16" t="s">
        <v>286</v>
      </c>
      <c r="E98" s="16" t="s">
        <v>294</v>
      </c>
      <c r="F98" s="16" t="s">
        <v>295</v>
      </c>
      <c r="G98" s="16" t="s">
        <v>133</v>
      </c>
      <c r="H98" s="18"/>
      <c r="I98" s="16" t="s">
        <v>49</v>
      </c>
      <c r="J98" s="16"/>
      <c r="K98" s="19" t="s">
        <v>21</v>
      </c>
      <c r="L98" s="19" t="s">
        <v>91</v>
      </c>
      <c r="M98" s="19" t="s">
        <v>170</v>
      </c>
      <c r="N98" s="19" t="s">
        <v>91</v>
      </c>
      <c r="O98" s="20" t="s">
        <v>30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34.5" customHeight="1" x14ac:dyDescent="0.25">
      <c r="A99" s="6">
        <v>48</v>
      </c>
      <c r="B99" s="30">
        <v>165</v>
      </c>
      <c r="C99" s="9">
        <v>2022</v>
      </c>
      <c r="D99" s="9" t="s">
        <v>296</v>
      </c>
      <c r="E99" s="9" t="s">
        <v>267</v>
      </c>
      <c r="F99" s="9" t="s">
        <v>129</v>
      </c>
      <c r="G99" s="9" t="s">
        <v>297</v>
      </c>
      <c r="H99" s="9" t="s">
        <v>18</v>
      </c>
      <c r="I99" s="9" t="s">
        <v>19</v>
      </c>
      <c r="J99" s="8" t="s">
        <v>282</v>
      </c>
      <c r="K99" s="8" t="s">
        <v>21</v>
      </c>
      <c r="L99" s="13">
        <v>46579</v>
      </c>
      <c r="M99" s="13">
        <v>46204</v>
      </c>
      <c r="N99" s="10">
        <f>L99-120</f>
        <v>46459</v>
      </c>
      <c r="O99" s="11" t="str">
        <f t="shared" ref="O99:O108" ca="1" si="18">IF(L99&gt;TODAY(),"Válida",IF(ISBLANK(L99),"Andamento",IF(L99&lt;TODAY(),"Vencida",IF(L99-TODAY()&lt;90,"URGENTE",IF(L99-TODAY()&lt;150,"RENOVAÇÃO",)))))</f>
        <v>Válida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34.5" customHeight="1" x14ac:dyDescent="0.25">
      <c r="A100" s="6">
        <v>48</v>
      </c>
      <c r="B100" s="30">
        <v>194</v>
      </c>
      <c r="C100" s="29">
        <v>2020</v>
      </c>
      <c r="D100" s="29" t="s">
        <v>298</v>
      </c>
      <c r="E100" s="29" t="s">
        <v>267</v>
      </c>
      <c r="F100" s="29" t="s">
        <v>129</v>
      </c>
      <c r="G100" s="29" t="s">
        <v>48</v>
      </c>
      <c r="H100" s="18" t="s">
        <v>18</v>
      </c>
      <c r="I100" s="29" t="s">
        <v>49</v>
      </c>
      <c r="J100" s="16" t="s">
        <v>95</v>
      </c>
      <c r="K100" s="29" t="s">
        <v>21</v>
      </c>
      <c r="L100" s="31" t="s">
        <v>90</v>
      </c>
      <c r="M100" s="31" t="s">
        <v>170</v>
      </c>
      <c r="N100" s="31" t="s">
        <v>90</v>
      </c>
      <c r="O100" s="20" t="str">
        <f t="shared" ca="1" si="18"/>
        <v>Válida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34.5" customHeight="1" x14ac:dyDescent="0.25">
      <c r="A101" s="6">
        <v>48</v>
      </c>
      <c r="B101" s="30" t="s">
        <v>299</v>
      </c>
      <c r="C101" s="29">
        <v>2024</v>
      </c>
      <c r="D101" s="29" t="s">
        <v>300</v>
      </c>
      <c r="E101" s="29" t="s">
        <v>301</v>
      </c>
      <c r="F101" s="9" t="s">
        <v>302</v>
      </c>
      <c r="G101" s="9" t="s">
        <v>303</v>
      </c>
      <c r="H101" s="18"/>
      <c r="I101" s="9" t="s">
        <v>19</v>
      </c>
      <c r="J101" s="16"/>
      <c r="K101" s="29" t="s">
        <v>21</v>
      </c>
      <c r="L101" s="31">
        <v>46207</v>
      </c>
      <c r="M101" s="31">
        <v>45839</v>
      </c>
      <c r="N101" s="31">
        <v>46085</v>
      </c>
      <c r="O101" s="20" t="str">
        <f t="shared" ca="1" si="18"/>
        <v>Válida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34.5" customHeight="1" x14ac:dyDescent="0.25">
      <c r="A102" s="6">
        <v>48</v>
      </c>
      <c r="B102" s="30">
        <v>168</v>
      </c>
      <c r="C102" s="9">
        <v>2025</v>
      </c>
      <c r="D102" s="9" t="s">
        <v>304</v>
      </c>
      <c r="E102" s="9" t="s">
        <v>305</v>
      </c>
      <c r="F102" s="9" t="s">
        <v>302</v>
      </c>
      <c r="G102" s="9" t="s">
        <v>303</v>
      </c>
      <c r="H102" s="9" t="s">
        <v>18</v>
      </c>
      <c r="I102" s="9" t="s">
        <v>19</v>
      </c>
      <c r="J102" s="8" t="s">
        <v>282</v>
      </c>
      <c r="K102" s="13" t="s">
        <v>21</v>
      </c>
      <c r="L102" s="13">
        <v>46431</v>
      </c>
      <c r="M102" s="13">
        <v>46312</v>
      </c>
      <c r="N102" s="10">
        <f>L102-120</f>
        <v>46311</v>
      </c>
      <c r="O102" s="11" t="str">
        <f t="shared" ca="1" si="18"/>
        <v>Válida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34.5" customHeight="1" x14ac:dyDescent="0.25">
      <c r="A103" s="6">
        <v>48</v>
      </c>
      <c r="B103" s="30">
        <v>139</v>
      </c>
      <c r="C103" s="9">
        <v>2025</v>
      </c>
      <c r="D103" s="9" t="s">
        <v>306</v>
      </c>
      <c r="E103" s="9" t="s">
        <v>307</v>
      </c>
      <c r="F103" s="9" t="s">
        <v>302</v>
      </c>
      <c r="G103" s="9" t="s">
        <v>303</v>
      </c>
      <c r="H103" s="9"/>
      <c r="I103" s="9" t="s">
        <v>19</v>
      </c>
      <c r="J103" s="8"/>
      <c r="K103" s="13" t="s">
        <v>21</v>
      </c>
      <c r="L103" s="13">
        <v>46648</v>
      </c>
      <c r="M103" s="13">
        <v>46160</v>
      </c>
      <c r="N103" s="10">
        <v>46525</v>
      </c>
      <c r="O103" s="11" t="str">
        <f t="shared" ca="1" si="18"/>
        <v>Válida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34.5" customHeight="1" x14ac:dyDescent="0.25">
      <c r="A104" s="6">
        <v>49</v>
      </c>
      <c r="B104" s="7">
        <v>1918</v>
      </c>
      <c r="C104" s="8">
        <v>2010</v>
      </c>
      <c r="D104" s="8" t="s">
        <v>308</v>
      </c>
      <c r="E104" s="8" t="s">
        <v>309</v>
      </c>
      <c r="F104" s="8" t="s">
        <v>16</v>
      </c>
      <c r="G104" s="8" t="s">
        <v>71</v>
      </c>
      <c r="H104" s="8" t="s">
        <v>18</v>
      </c>
      <c r="I104" s="8" t="s">
        <v>19</v>
      </c>
      <c r="J104" s="8" t="s">
        <v>310</v>
      </c>
      <c r="K104" s="10" t="s">
        <v>21</v>
      </c>
      <c r="L104" s="10">
        <v>46163</v>
      </c>
      <c r="M104" s="10">
        <v>46043</v>
      </c>
      <c r="N104" s="10">
        <v>46043</v>
      </c>
      <c r="O104" s="11" t="str">
        <f t="shared" ca="1" si="18"/>
        <v>Válida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34.5" customHeight="1" x14ac:dyDescent="0.25">
      <c r="A105" s="6">
        <v>50</v>
      </c>
      <c r="B105" s="7">
        <v>79</v>
      </c>
      <c r="C105" s="34">
        <v>2024</v>
      </c>
      <c r="D105" s="16" t="s">
        <v>311</v>
      </c>
      <c r="E105" s="16" t="s">
        <v>27</v>
      </c>
      <c r="F105" s="16" t="s">
        <v>312</v>
      </c>
      <c r="G105" s="16" t="s">
        <v>313</v>
      </c>
      <c r="H105" s="18" t="s">
        <v>18</v>
      </c>
      <c r="I105" s="16" t="s">
        <v>19</v>
      </c>
      <c r="J105" s="16" t="s">
        <v>282</v>
      </c>
      <c r="K105" s="19" t="s">
        <v>314</v>
      </c>
      <c r="L105" s="19">
        <v>47138</v>
      </c>
      <c r="M105" s="36">
        <v>46409</v>
      </c>
      <c r="N105" s="19">
        <f>L105-120</f>
        <v>47018</v>
      </c>
      <c r="O105" s="20" t="str">
        <f t="shared" ca="1" si="18"/>
        <v>Válida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34.5" customHeight="1" x14ac:dyDescent="0.25">
      <c r="A106" s="6">
        <v>51</v>
      </c>
      <c r="B106" s="7">
        <v>4086</v>
      </c>
      <c r="C106" s="8">
        <v>2018</v>
      </c>
      <c r="D106" s="8" t="s">
        <v>315</v>
      </c>
      <c r="E106" s="8" t="s">
        <v>316</v>
      </c>
      <c r="F106" s="8" t="s">
        <v>16</v>
      </c>
      <c r="G106" s="8" t="s">
        <v>58</v>
      </c>
      <c r="H106" s="9" t="s">
        <v>18</v>
      </c>
      <c r="I106" s="8" t="s">
        <v>40</v>
      </c>
      <c r="J106" s="8" t="s">
        <v>317</v>
      </c>
      <c r="K106" s="10" t="s">
        <v>21</v>
      </c>
      <c r="L106" s="10">
        <v>45907</v>
      </c>
      <c r="M106" s="10">
        <v>45845</v>
      </c>
      <c r="N106" s="10">
        <v>45845</v>
      </c>
      <c r="O106" s="11" t="str">
        <f t="shared" ca="1" si="18"/>
        <v>Vencida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34.5" customHeight="1" x14ac:dyDescent="0.25">
      <c r="A107" s="6">
        <v>52</v>
      </c>
      <c r="B107" s="30">
        <v>254</v>
      </c>
      <c r="C107" s="18">
        <v>2020</v>
      </c>
      <c r="D107" s="18" t="s">
        <v>318</v>
      </c>
      <c r="E107" s="18" t="s">
        <v>319</v>
      </c>
      <c r="F107" s="18" t="s">
        <v>193</v>
      </c>
      <c r="G107" s="18" t="s">
        <v>67</v>
      </c>
      <c r="H107" s="16" t="s">
        <v>18</v>
      </c>
      <c r="I107" s="18" t="s">
        <v>19</v>
      </c>
      <c r="J107" s="18" t="s">
        <v>320</v>
      </c>
      <c r="K107" s="32" t="s">
        <v>21</v>
      </c>
      <c r="L107" s="32">
        <v>46350</v>
      </c>
      <c r="M107" s="32">
        <v>46230</v>
      </c>
      <c r="N107" s="19">
        <f t="shared" ref="N107:N109" si="19">L107-120</f>
        <v>46230</v>
      </c>
      <c r="O107" s="20" t="str">
        <f t="shared" ca="1" si="18"/>
        <v>Válida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34.5" customHeight="1" x14ac:dyDescent="0.25">
      <c r="A108" s="6">
        <v>53</v>
      </c>
      <c r="B108" s="7">
        <v>39</v>
      </c>
      <c r="C108" s="16">
        <v>2025</v>
      </c>
      <c r="D108" s="16" t="s">
        <v>321</v>
      </c>
      <c r="E108" s="16" t="s">
        <v>197</v>
      </c>
      <c r="F108" s="16" t="s">
        <v>322</v>
      </c>
      <c r="G108" s="16" t="s">
        <v>48</v>
      </c>
      <c r="H108" s="18" t="s">
        <v>18</v>
      </c>
      <c r="I108" s="16" t="s">
        <v>49</v>
      </c>
      <c r="J108" s="37" t="s">
        <v>201</v>
      </c>
      <c r="K108" s="19" t="s">
        <v>21</v>
      </c>
      <c r="L108" s="19">
        <v>46582</v>
      </c>
      <c r="M108" s="19">
        <v>46217</v>
      </c>
      <c r="N108" s="19">
        <f t="shared" si="19"/>
        <v>46462</v>
      </c>
      <c r="O108" s="20" t="str">
        <f t="shared" ca="1" si="18"/>
        <v>Válida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34.5" customHeight="1" x14ac:dyDescent="0.25">
      <c r="A109" s="6">
        <v>53</v>
      </c>
      <c r="B109" s="7">
        <v>92</v>
      </c>
      <c r="C109" s="8">
        <v>2018</v>
      </c>
      <c r="D109" s="8" t="s">
        <v>323</v>
      </c>
      <c r="E109" s="8" t="s">
        <v>197</v>
      </c>
      <c r="F109" s="8" t="s">
        <v>324</v>
      </c>
      <c r="G109" s="8" t="s">
        <v>48</v>
      </c>
      <c r="H109" s="9" t="s">
        <v>18</v>
      </c>
      <c r="I109" s="8" t="s">
        <v>19</v>
      </c>
      <c r="J109" s="8" t="s">
        <v>95</v>
      </c>
      <c r="K109" s="10" t="s">
        <v>21</v>
      </c>
      <c r="L109" s="10">
        <v>46022</v>
      </c>
      <c r="M109" s="10">
        <v>45902</v>
      </c>
      <c r="N109" s="10">
        <f t="shared" si="19"/>
        <v>45902</v>
      </c>
      <c r="O109" s="11" t="s">
        <v>30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34.5" customHeight="1" x14ac:dyDescent="0.25">
      <c r="A110" s="6">
        <v>53</v>
      </c>
      <c r="B110" s="7" t="s">
        <v>325</v>
      </c>
      <c r="C110" s="8">
        <v>2025</v>
      </c>
      <c r="D110" s="8" t="s">
        <v>326</v>
      </c>
      <c r="E110" s="8" t="s">
        <v>327</v>
      </c>
      <c r="F110" s="8" t="s">
        <v>328</v>
      </c>
      <c r="G110" s="8" t="s">
        <v>217</v>
      </c>
      <c r="H110" s="9"/>
      <c r="I110" s="8" t="s">
        <v>19</v>
      </c>
      <c r="J110" s="8"/>
      <c r="K110" s="10" t="s">
        <v>329</v>
      </c>
      <c r="L110" s="10">
        <v>46575</v>
      </c>
      <c r="M110" s="10">
        <v>46204</v>
      </c>
      <c r="N110" s="10">
        <v>46453</v>
      </c>
      <c r="O110" s="11" t="s">
        <v>30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34.5" customHeight="1" x14ac:dyDescent="0.25">
      <c r="A111" s="6">
        <v>53</v>
      </c>
      <c r="B111" s="7" t="s">
        <v>330</v>
      </c>
      <c r="C111" s="8">
        <v>2025</v>
      </c>
      <c r="D111" s="8" t="s">
        <v>331</v>
      </c>
      <c r="E111" s="8" t="s">
        <v>332</v>
      </c>
      <c r="F111" s="8" t="s">
        <v>328</v>
      </c>
      <c r="G111" s="8" t="s">
        <v>217</v>
      </c>
      <c r="H111" s="9"/>
      <c r="I111" s="8" t="s">
        <v>19</v>
      </c>
      <c r="J111" s="8"/>
      <c r="K111" s="10" t="s">
        <v>329</v>
      </c>
      <c r="L111" s="10">
        <v>46542</v>
      </c>
      <c r="M111" s="10">
        <v>46177</v>
      </c>
      <c r="N111" s="10">
        <v>46422</v>
      </c>
      <c r="O111" s="11" t="s">
        <v>30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34.5" customHeight="1" x14ac:dyDescent="0.25">
      <c r="A112" s="6">
        <v>53</v>
      </c>
      <c r="B112" s="7" t="s">
        <v>333</v>
      </c>
      <c r="C112" s="8">
        <v>2025</v>
      </c>
      <c r="D112" s="8" t="s">
        <v>334</v>
      </c>
      <c r="E112" s="8" t="s">
        <v>335</v>
      </c>
      <c r="F112" s="8" t="s">
        <v>328</v>
      </c>
      <c r="G112" s="8" t="s">
        <v>336</v>
      </c>
      <c r="H112" s="9" t="s">
        <v>18</v>
      </c>
      <c r="I112" s="8" t="s">
        <v>112</v>
      </c>
      <c r="J112" s="15" t="s">
        <v>201</v>
      </c>
      <c r="K112" s="10" t="s">
        <v>337</v>
      </c>
      <c r="L112" s="10">
        <v>46562</v>
      </c>
      <c r="M112" s="10">
        <v>46197</v>
      </c>
      <c r="N112" s="10">
        <v>46442</v>
      </c>
      <c r="O112" s="11" t="str">
        <f ca="1">IF(L112&gt;TODAY(),"Válida",IF(ISBLANK(L112),"Andamento",IF(L112&lt;TODAY(),"Vencida",IF(L112-TODAY()&lt;90,"URGENTE",IF(L112-TODAY()&lt;150,"RENOVAÇÃO",)))))</f>
        <v>Válida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34.5" customHeight="1" x14ac:dyDescent="0.25">
      <c r="A113" s="6">
        <v>54</v>
      </c>
      <c r="B113" s="30">
        <v>6266</v>
      </c>
      <c r="C113" s="9">
        <v>2021</v>
      </c>
      <c r="D113" s="9" t="s">
        <v>338</v>
      </c>
      <c r="E113" s="9" t="s">
        <v>339</v>
      </c>
      <c r="F113" s="9" t="s">
        <v>16</v>
      </c>
      <c r="G113" s="9" t="s">
        <v>154</v>
      </c>
      <c r="H113" s="9" t="s">
        <v>18</v>
      </c>
      <c r="I113" s="9" t="s">
        <v>19</v>
      </c>
      <c r="J113" s="15" t="s">
        <v>340</v>
      </c>
      <c r="K113" s="13" t="s">
        <v>21</v>
      </c>
      <c r="L113" s="13">
        <v>45562</v>
      </c>
      <c r="M113" s="13">
        <v>45439</v>
      </c>
      <c r="N113" s="10">
        <v>45439</v>
      </c>
      <c r="O113" s="11" t="s">
        <v>30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34.5" customHeight="1" x14ac:dyDescent="0.25">
      <c r="A114" s="6">
        <v>55</v>
      </c>
      <c r="B114" s="7">
        <v>6908</v>
      </c>
      <c r="C114" s="8">
        <v>2022</v>
      </c>
      <c r="D114" s="8" t="s">
        <v>341</v>
      </c>
      <c r="E114" s="8" t="s">
        <v>342</v>
      </c>
      <c r="F114" s="8" t="s">
        <v>16</v>
      </c>
      <c r="G114" s="8" t="s">
        <v>58</v>
      </c>
      <c r="H114" s="8"/>
      <c r="I114" s="8" t="s">
        <v>112</v>
      </c>
      <c r="J114" s="15"/>
      <c r="K114" s="8" t="s">
        <v>21</v>
      </c>
      <c r="L114" s="10">
        <v>46323</v>
      </c>
      <c r="M114" s="10">
        <v>46201</v>
      </c>
      <c r="N114" s="10">
        <v>46201</v>
      </c>
      <c r="O114" s="38" t="s">
        <v>30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34.5" customHeight="1" x14ac:dyDescent="0.25">
      <c r="A115" s="6">
        <v>56</v>
      </c>
      <c r="B115" s="7" t="s">
        <v>343</v>
      </c>
      <c r="C115" s="21">
        <v>2020</v>
      </c>
      <c r="D115" s="8" t="s">
        <v>344</v>
      </c>
      <c r="E115" s="8" t="s">
        <v>345</v>
      </c>
      <c r="F115" s="8" t="s">
        <v>81</v>
      </c>
      <c r="G115" s="8" t="s">
        <v>67</v>
      </c>
      <c r="H115" s="9" t="s">
        <v>18</v>
      </c>
      <c r="I115" s="8" t="s">
        <v>346</v>
      </c>
      <c r="J115" s="8" t="s">
        <v>317</v>
      </c>
      <c r="K115" s="8" t="s">
        <v>21</v>
      </c>
      <c r="L115" s="10">
        <v>45002</v>
      </c>
      <c r="M115" s="33">
        <v>44882</v>
      </c>
      <c r="N115" s="10">
        <f>L115-120</f>
        <v>44882</v>
      </c>
      <c r="O115" s="11" t="str">
        <f ca="1">IF(L115&gt;TODAY(),"Válida",IF(ISBLANK(L115),"Andamento",IF(L115&lt;TODAY(),"Vencida",IF(L115-TODAY()&lt;90,"URGENTE",IF(L115-TODAY()&lt;150,"RENOVAÇÃO",)))))</f>
        <v>Vencida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34.5" customHeight="1" x14ac:dyDescent="0.25">
      <c r="A116" s="6">
        <v>56</v>
      </c>
      <c r="B116" s="7" t="s">
        <v>1764</v>
      </c>
      <c r="C116" s="21">
        <v>2025</v>
      </c>
      <c r="D116" s="8" t="s">
        <v>234</v>
      </c>
      <c r="E116" s="8" t="s">
        <v>1763</v>
      </c>
      <c r="F116" s="8" t="s">
        <v>81</v>
      </c>
      <c r="G116" s="8" t="s">
        <v>67</v>
      </c>
      <c r="H116" s="9"/>
      <c r="I116" s="8" t="s">
        <v>40</v>
      </c>
      <c r="J116" s="8"/>
      <c r="K116" s="8" t="s">
        <v>21</v>
      </c>
      <c r="L116" s="10">
        <v>46739</v>
      </c>
      <c r="M116" s="33">
        <v>46374</v>
      </c>
      <c r="N116" s="10">
        <v>46617</v>
      </c>
      <c r="O116" s="11" t="s">
        <v>30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34.5" customHeight="1" x14ac:dyDescent="0.25">
      <c r="A117" s="6">
        <v>57</v>
      </c>
      <c r="B117" s="7">
        <v>3636</v>
      </c>
      <c r="C117" s="21">
        <v>2016</v>
      </c>
      <c r="D117" s="35" t="s">
        <v>348</v>
      </c>
      <c r="E117" s="8" t="s">
        <v>349</v>
      </c>
      <c r="F117" s="8" t="s">
        <v>350</v>
      </c>
      <c r="G117" s="8" t="s">
        <v>71</v>
      </c>
      <c r="H117" s="9" t="s">
        <v>18</v>
      </c>
      <c r="I117" s="8" t="s">
        <v>19</v>
      </c>
      <c r="J117" s="15" t="s">
        <v>351</v>
      </c>
      <c r="K117" s="10" t="s">
        <v>21</v>
      </c>
      <c r="L117" s="10">
        <v>45810</v>
      </c>
      <c r="M117" s="10">
        <v>45690</v>
      </c>
      <c r="N117" s="10">
        <f>L117-120</f>
        <v>45690</v>
      </c>
      <c r="O117" s="11" t="s">
        <v>30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34.5" customHeight="1" x14ac:dyDescent="0.25">
      <c r="A118" s="6">
        <v>58</v>
      </c>
      <c r="B118" s="30">
        <v>3469</v>
      </c>
      <c r="C118" s="9">
        <v>2015</v>
      </c>
      <c r="D118" s="9" t="s">
        <v>352</v>
      </c>
      <c r="E118" s="9" t="s">
        <v>353</v>
      </c>
      <c r="F118" s="9" t="s">
        <v>16</v>
      </c>
      <c r="G118" s="9" t="s">
        <v>17</v>
      </c>
      <c r="H118" s="9" t="s">
        <v>18</v>
      </c>
      <c r="I118" s="9" t="s">
        <v>19</v>
      </c>
      <c r="J118" s="9" t="s">
        <v>228</v>
      </c>
      <c r="K118" s="13" t="s">
        <v>21</v>
      </c>
      <c r="L118" s="13" t="s">
        <v>90</v>
      </c>
      <c r="M118" s="13" t="s">
        <v>170</v>
      </c>
      <c r="N118" s="10" t="s">
        <v>90</v>
      </c>
      <c r="O118" s="11" t="str">
        <f t="shared" ref="O118:O121" ca="1" si="20">IF(L118&gt;TODAY(),"Válida",IF(ISBLANK(L118),"Andamento",IF(L118&lt;TODAY(),"Vencida",IF(L118-TODAY()&lt;90,"URGENTE",IF(L118-TODAY()&lt;150,"RENOVAÇÃO",)))))</f>
        <v>Válida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34.5" customHeight="1" x14ac:dyDescent="0.25">
      <c r="A119" s="6">
        <v>59</v>
      </c>
      <c r="B119" s="7">
        <v>2</v>
      </c>
      <c r="C119" s="8">
        <v>2022</v>
      </c>
      <c r="D119" s="8" t="s">
        <v>354</v>
      </c>
      <c r="E119" s="8" t="s">
        <v>185</v>
      </c>
      <c r="F119" s="8" t="s">
        <v>355</v>
      </c>
      <c r="G119" s="8" t="s">
        <v>48</v>
      </c>
      <c r="H119" s="9" t="s">
        <v>18</v>
      </c>
      <c r="I119" s="8" t="s">
        <v>19</v>
      </c>
      <c r="J119" s="8" t="s">
        <v>356</v>
      </c>
      <c r="K119" s="10" t="s">
        <v>21</v>
      </c>
      <c r="L119" s="10">
        <v>46048</v>
      </c>
      <c r="M119" s="14">
        <v>45928</v>
      </c>
      <c r="N119" s="10">
        <f>L119-120</f>
        <v>45928</v>
      </c>
      <c r="O119" s="11" t="str">
        <f t="shared" ca="1" si="20"/>
        <v>Vencida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34.5" customHeight="1" x14ac:dyDescent="0.25">
      <c r="A120" s="6">
        <v>59</v>
      </c>
      <c r="B120" s="7">
        <v>152</v>
      </c>
      <c r="C120" s="8">
        <v>2023</v>
      </c>
      <c r="D120" s="8" t="s">
        <v>357</v>
      </c>
      <c r="E120" s="8" t="s">
        <v>185</v>
      </c>
      <c r="F120" s="8" t="s">
        <v>358</v>
      </c>
      <c r="G120" s="8" t="s">
        <v>48</v>
      </c>
      <c r="H120" s="9"/>
      <c r="I120" s="8" t="s">
        <v>19</v>
      </c>
      <c r="J120" s="8"/>
      <c r="K120" s="10" t="s">
        <v>329</v>
      </c>
      <c r="L120" s="10">
        <v>46908</v>
      </c>
      <c r="M120" s="14">
        <v>46177</v>
      </c>
      <c r="N120" s="10">
        <v>46787</v>
      </c>
      <c r="O120" s="11" t="str">
        <f t="shared" ca="1" si="20"/>
        <v>Válida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34.5" customHeight="1" x14ac:dyDescent="0.25">
      <c r="A121" s="6">
        <v>61</v>
      </c>
      <c r="B121" s="7">
        <v>5810</v>
      </c>
      <c r="C121" s="8">
        <v>2021</v>
      </c>
      <c r="D121" s="8" t="s">
        <v>359</v>
      </c>
      <c r="E121" s="8" t="s">
        <v>360</v>
      </c>
      <c r="F121" s="8" t="s">
        <v>16</v>
      </c>
      <c r="G121" s="8" t="s">
        <v>58</v>
      </c>
      <c r="H121" s="9" t="s">
        <v>18</v>
      </c>
      <c r="I121" s="8" t="s">
        <v>40</v>
      </c>
      <c r="J121" s="15" t="s">
        <v>351</v>
      </c>
      <c r="K121" s="10" t="s">
        <v>21</v>
      </c>
      <c r="L121" s="10">
        <v>46291</v>
      </c>
      <c r="M121" s="10">
        <v>46229</v>
      </c>
      <c r="N121" s="10">
        <v>46229</v>
      </c>
      <c r="O121" s="11" t="str">
        <f t="shared" ca="1" si="20"/>
        <v>Válida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34.5" customHeight="1" x14ac:dyDescent="0.25">
      <c r="A122" s="6">
        <v>62</v>
      </c>
      <c r="B122" s="7" t="s">
        <v>361</v>
      </c>
      <c r="C122" s="204">
        <v>2024</v>
      </c>
      <c r="D122" s="192" t="s">
        <v>362</v>
      </c>
      <c r="E122" s="192" t="s">
        <v>363</v>
      </c>
      <c r="F122" s="192" t="s">
        <v>16</v>
      </c>
      <c r="G122" s="192" t="s">
        <v>58</v>
      </c>
      <c r="H122" s="203"/>
      <c r="I122" s="192" t="s">
        <v>347</v>
      </c>
      <c r="J122" s="192"/>
      <c r="K122" s="194" t="s">
        <v>21</v>
      </c>
      <c r="L122" s="194"/>
      <c r="M122" s="194"/>
      <c r="N122" s="194"/>
      <c r="O122" s="19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34.5" customHeight="1" x14ac:dyDescent="0.25">
      <c r="A123" s="6">
        <v>63</v>
      </c>
      <c r="B123" s="7" t="s">
        <v>364</v>
      </c>
      <c r="C123" s="21">
        <v>2025</v>
      </c>
      <c r="D123" s="8" t="s">
        <v>365</v>
      </c>
      <c r="E123" s="8" t="s">
        <v>366</v>
      </c>
      <c r="F123" s="8" t="s">
        <v>367</v>
      </c>
      <c r="G123" s="8" t="s">
        <v>368</v>
      </c>
      <c r="H123" s="9"/>
      <c r="I123" s="8" t="s">
        <v>19</v>
      </c>
      <c r="J123" s="8"/>
      <c r="K123" s="10" t="s">
        <v>21</v>
      </c>
      <c r="L123" s="10">
        <v>46241</v>
      </c>
      <c r="M123" s="10">
        <v>46119</v>
      </c>
      <c r="N123" s="10">
        <v>46119</v>
      </c>
      <c r="O123" s="11" t="str">
        <f t="shared" ref="O123:O126" ca="1" si="21">IF(L123&gt;TODAY(),"Válida",IF(ISBLANK(L123),"Andamento",IF(L123&lt;TODAY(),"Vencida",IF(L123-TODAY()&lt;90,"URGENTE",IF(L123-TODAY()&lt;150,"RENOVAÇÃO",)))))</f>
        <v>Válida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34.5" customHeight="1" x14ac:dyDescent="0.25">
      <c r="A124" s="6">
        <v>63</v>
      </c>
      <c r="B124" s="7" t="s">
        <v>369</v>
      </c>
      <c r="C124" s="8">
        <v>2025</v>
      </c>
      <c r="D124" s="8" t="s">
        <v>370</v>
      </c>
      <c r="E124" s="8" t="s">
        <v>27</v>
      </c>
      <c r="F124" s="8" t="s">
        <v>367</v>
      </c>
      <c r="G124" s="8" t="s">
        <v>371</v>
      </c>
      <c r="H124" s="9" t="s">
        <v>18</v>
      </c>
      <c r="I124" s="8" t="s">
        <v>19</v>
      </c>
      <c r="J124" s="8" t="s">
        <v>356</v>
      </c>
      <c r="K124" s="10" t="s">
        <v>21</v>
      </c>
      <c r="L124" s="10">
        <v>46241</v>
      </c>
      <c r="M124" s="14">
        <v>46121</v>
      </c>
      <c r="N124" s="10">
        <f t="shared" ref="N124:N129" si="22">L124-120</f>
        <v>46121</v>
      </c>
      <c r="O124" s="11" t="str">
        <f t="shared" ca="1" si="21"/>
        <v>Válida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34.5" customHeight="1" x14ac:dyDescent="0.25">
      <c r="A125" s="6">
        <v>63</v>
      </c>
      <c r="B125" s="7" t="s">
        <v>372</v>
      </c>
      <c r="C125" s="8">
        <v>2025</v>
      </c>
      <c r="D125" s="8" t="s">
        <v>373</v>
      </c>
      <c r="E125" s="8" t="s">
        <v>27</v>
      </c>
      <c r="F125" s="8" t="s">
        <v>367</v>
      </c>
      <c r="G125" s="8" t="s">
        <v>368</v>
      </c>
      <c r="H125" s="9" t="s">
        <v>18</v>
      </c>
      <c r="I125" s="8" t="s">
        <v>19</v>
      </c>
      <c r="J125" s="8" t="s">
        <v>356</v>
      </c>
      <c r="K125" s="10" t="s">
        <v>21</v>
      </c>
      <c r="L125" s="10">
        <v>46241</v>
      </c>
      <c r="M125" s="14">
        <v>46121</v>
      </c>
      <c r="N125" s="10">
        <f t="shared" si="22"/>
        <v>46121</v>
      </c>
      <c r="O125" s="11" t="str">
        <f t="shared" ca="1" si="21"/>
        <v>Válida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34.5" customHeight="1" x14ac:dyDescent="0.25">
      <c r="A126" s="6">
        <v>63</v>
      </c>
      <c r="B126" s="7" t="s">
        <v>374</v>
      </c>
      <c r="C126" s="8">
        <v>2025</v>
      </c>
      <c r="D126" s="8" t="s">
        <v>375</v>
      </c>
      <c r="E126" s="8" t="s">
        <v>27</v>
      </c>
      <c r="F126" s="8" t="s">
        <v>367</v>
      </c>
      <c r="G126" s="8" t="s">
        <v>48</v>
      </c>
      <c r="H126" s="9" t="s">
        <v>18</v>
      </c>
      <c r="I126" s="8" t="s">
        <v>19</v>
      </c>
      <c r="J126" s="8" t="s">
        <v>356</v>
      </c>
      <c r="K126" s="10" t="s">
        <v>21</v>
      </c>
      <c r="L126" s="10">
        <v>46241</v>
      </c>
      <c r="M126" s="14">
        <v>46121</v>
      </c>
      <c r="N126" s="10">
        <f t="shared" si="22"/>
        <v>46121</v>
      </c>
      <c r="O126" s="11" t="str">
        <f t="shared" ca="1" si="21"/>
        <v>Válida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34.5" customHeight="1" x14ac:dyDescent="0.25">
      <c r="A127" s="6">
        <v>63</v>
      </c>
      <c r="B127" s="7" t="s">
        <v>376</v>
      </c>
      <c r="C127" s="8">
        <v>2025</v>
      </c>
      <c r="D127" s="8" t="s">
        <v>377</v>
      </c>
      <c r="E127" s="8" t="s">
        <v>27</v>
      </c>
      <c r="F127" s="8" t="s">
        <v>367</v>
      </c>
      <c r="G127" s="8" t="s">
        <v>368</v>
      </c>
      <c r="H127" s="9" t="s">
        <v>18</v>
      </c>
      <c r="I127" s="8" t="s">
        <v>19</v>
      </c>
      <c r="J127" s="8" t="s">
        <v>356</v>
      </c>
      <c r="K127" s="10" t="s">
        <v>21</v>
      </c>
      <c r="L127" s="10">
        <v>46241</v>
      </c>
      <c r="M127" s="14">
        <v>46121</v>
      </c>
      <c r="N127" s="10">
        <f t="shared" si="22"/>
        <v>46121</v>
      </c>
      <c r="O127" s="11" t="s">
        <v>30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34.5" customHeight="1" x14ac:dyDescent="0.25">
      <c r="A128" s="6">
        <v>63</v>
      </c>
      <c r="B128" s="7" t="s">
        <v>1782</v>
      </c>
      <c r="C128" s="8">
        <v>2025</v>
      </c>
      <c r="D128" s="8" t="s">
        <v>378</v>
      </c>
      <c r="E128" s="8" t="s">
        <v>27</v>
      </c>
      <c r="F128" s="8" t="s">
        <v>367</v>
      </c>
      <c r="G128" s="8" t="s">
        <v>379</v>
      </c>
      <c r="H128" s="9"/>
      <c r="I128" s="8" t="s">
        <v>19</v>
      </c>
      <c r="J128" s="8"/>
      <c r="K128" s="10" t="s">
        <v>21</v>
      </c>
      <c r="L128" s="10">
        <v>46429</v>
      </c>
      <c r="M128" s="14">
        <v>46309</v>
      </c>
      <c r="N128" s="10">
        <f t="shared" si="22"/>
        <v>46309</v>
      </c>
      <c r="O128" s="11" t="s">
        <v>30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34.5" customHeight="1" x14ac:dyDescent="0.25">
      <c r="A129" s="6">
        <v>64</v>
      </c>
      <c r="B129" s="39" t="s">
        <v>380</v>
      </c>
      <c r="C129" s="15">
        <v>2025</v>
      </c>
      <c r="D129" s="15" t="s">
        <v>381</v>
      </c>
      <c r="E129" s="8" t="s">
        <v>382</v>
      </c>
      <c r="F129" s="15" t="s">
        <v>16</v>
      </c>
      <c r="G129" s="15" t="s">
        <v>383</v>
      </c>
      <c r="H129" s="9" t="s">
        <v>18</v>
      </c>
      <c r="I129" s="15" t="s">
        <v>40</v>
      </c>
      <c r="J129" s="8" t="s">
        <v>384</v>
      </c>
      <c r="K129" s="15" t="s">
        <v>21</v>
      </c>
      <c r="L129" s="14">
        <v>46627</v>
      </c>
      <c r="M129" s="14">
        <v>46507</v>
      </c>
      <c r="N129" s="10">
        <f t="shared" si="22"/>
        <v>46507</v>
      </c>
      <c r="O129" s="11" t="s">
        <v>385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34.5" customHeight="1" x14ac:dyDescent="0.25">
      <c r="A130" s="6">
        <v>65</v>
      </c>
      <c r="B130" s="7" t="s">
        <v>386</v>
      </c>
      <c r="C130" s="23">
        <v>2025</v>
      </c>
      <c r="D130" s="23" t="s">
        <v>387</v>
      </c>
      <c r="E130" s="23" t="s">
        <v>388</v>
      </c>
      <c r="F130" s="23" t="s">
        <v>16</v>
      </c>
      <c r="G130" s="23" t="s">
        <v>63</v>
      </c>
      <c r="H130" s="23"/>
      <c r="I130" s="23" t="s">
        <v>40</v>
      </c>
      <c r="J130" s="23"/>
      <c r="K130" s="25" t="s">
        <v>21</v>
      </c>
      <c r="L130" s="25"/>
      <c r="M130" s="25"/>
      <c r="N130" s="40"/>
      <c r="O130" s="2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34.5" customHeight="1" x14ac:dyDescent="0.25">
      <c r="A131" s="6">
        <v>65</v>
      </c>
      <c r="B131" s="7" t="s">
        <v>389</v>
      </c>
      <c r="C131" s="8">
        <v>2025</v>
      </c>
      <c r="D131" s="8" t="s">
        <v>390</v>
      </c>
      <c r="E131" s="8" t="s">
        <v>391</v>
      </c>
      <c r="F131" s="8" t="s">
        <v>367</v>
      </c>
      <c r="G131" s="8" t="s">
        <v>392</v>
      </c>
      <c r="H131" s="8"/>
      <c r="I131" s="8" t="s">
        <v>40</v>
      </c>
      <c r="J131" s="8"/>
      <c r="K131" s="10" t="s">
        <v>21</v>
      </c>
      <c r="L131" s="10">
        <v>46198</v>
      </c>
      <c r="M131" s="10">
        <v>46078</v>
      </c>
      <c r="N131" s="13">
        <v>46078</v>
      </c>
      <c r="O131" s="11" t="str">
        <f t="shared" ref="O131:O133" ca="1" si="23">IF(L131&gt;TODAY(),"Válida",IF(ISBLANK(L131),"Andamento",IF(L131&lt;TODAY(),"Vencida",IF(L131-TODAY()&lt;90,"URGENTE",IF(L131-TODAY()&lt;150,"RENOVAÇÃO",)))))</f>
        <v>Válida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34.5" customHeight="1" x14ac:dyDescent="0.25">
      <c r="A132" s="6">
        <v>66</v>
      </c>
      <c r="B132" s="39">
        <v>95</v>
      </c>
      <c r="C132" s="15">
        <v>2024</v>
      </c>
      <c r="D132" s="15" t="s">
        <v>393</v>
      </c>
      <c r="E132" s="8" t="s">
        <v>27</v>
      </c>
      <c r="F132" s="15" t="s">
        <v>394</v>
      </c>
      <c r="G132" s="15" t="s">
        <v>48</v>
      </c>
      <c r="H132" s="9" t="s">
        <v>18</v>
      </c>
      <c r="I132" s="15" t="s">
        <v>19</v>
      </c>
      <c r="J132" s="8" t="s">
        <v>395</v>
      </c>
      <c r="K132" s="15" t="s">
        <v>21</v>
      </c>
      <c r="L132" s="14">
        <v>46138</v>
      </c>
      <c r="M132" s="14">
        <v>46017</v>
      </c>
      <c r="N132" s="10">
        <v>46017</v>
      </c>
      <c r="O132" s="11" t="str">
        <f t="shared" ca="1" si="23"/>
        <v>Válida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34.5" customHeight="1" x14ac:dyDescent="0.25">
      <c r="A133" s="6">
        <v>67</v>
      </c>
      <c r="B133" s="39">
        <v>207</v>
      </c>
      <c r="C133" s="17">
        <v>2021</v>
      </c>
      <c r="D133" s="17" t="s">
        <v>396</v>
      </c>
      <c r="E133" s="17" t="s">
        <v>397</v>
      </c>
      <c r="F133" s="17" t="s">
        <v>193</v>
      </c>
      <c r="G133" s="17" t="s">
        <v>398</v>
      </c>
      <c r="H133" s="18" t="s">
        <v>18</v>
      </c>
      <c r="I133" s="17" t="s">
        <v>19</v>
      </c>
      <c r="J133" s="17" t="s">
        <v>399</v>
      </c>
      <c r="K133" s="17" t="s">
        <v>21</v>
      </c>
      <c r="L133" s="36">
        <v>46012</v>
      </c>
      <c r="M133" s="36">
        <v>45281</v>
      </c>
      <c r="N133" s="19">
        <f>L133-120</f>
        <v>45892</v>
      </c>
      <c r="O133" s="20" t="str">
        <f t="shared" ca="1" si="23"/>
        <v>Vencida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34.5" customHeight="1" x14ac:dyDescent="0.25">
      <c r="A134" s="6">
        <v>68</v>
      </c>
      <c r="B134" s="7" t="s">
        <v>400</v>
      </c>
      <c r="C134" s="8">
        <v>2025</v>
      </c>
      <c r="D134" s="8" t="s">
        <v>401</v>
      </c>
      <c r="E134" s="8" t="s">
        <v>27</v>
      </c>
      <c r="F134" s="8" t="s">
        <v>402</v>
      </c>
      <c r="G134" s="8" t="s">
        <v>48</v>
      </c>
      <c r="H134" s="9" t="s">
        <v>18</v>
      </c>
      <c r="I134" s="8" t="s">
        <v>19</v>
      </c>
      <c r="J134" s="8" t="s">
        <v>95</v>
      </c>
      <c r="K134" s="10" t="s">
        <v>21</v>
      </c>
      <c r="L134" s="14">
        <v>46414</v>
      </c>
      <c r="M134" s="10">
        <v>46292</v>
      </c>
      <c r="N134" s="10">
        <v>46292</v>
      </c>
      <c r="O134" s="11" t="s">
        <v>30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34.5" customHeight="1" x14ac:dyDescent="0.25">
      <c r="A135" s="6">
        <v>68</v>
      </c>
      <c r="B135" s="7">
        <v>66</v>
      </c>
      <c r="C135" s="16">
        <v>2021</v>
      </c>
      <c r="D135" s="16" t="s">
        <v>403</v>
      </c>
      <c r="E135" s="16" t="s">
        <v>27</v>
      </c>
      <c r="F135" s="16" t="s">
        <v>404</v>
      </c>
      <c r="G135" s="16" t="s">
        <v>48</v>
      </c>
      <c r="H135" s="18" t="s">
        <v>18</v>
      </c>
      <c r="I135" s="16" t="s">
        <v>19</v>
      </c>
      <c r="J135" s="16" t="s">
        <v>95</v>
      </c>
      <c r="K135" s="19" t="s">
        <v>21</v>
      </c>
      <c r="L135" s="19">
        <v>45817</v>
      </c>
      <c r="M135" s="19">
        <v>45697</v>
      </c>
      <c r="N135" s="19">
        <f t="shared" ref="N135:N137" si="24">L135-120</f>
        <v>45697</v>
      </c>
      <c r="O135" s="20" t="str">
        <f t="shared" ref="O135:O147" ca="1" si="25">IF(L135&gt;TODAY(),"Válida",IF(ISBLANK(L135),"Andamento",IF(L135&lt;TODAY(),"Vencida",IF(L135-TODAY()&lt;90,"URGENTE",IF(L135-TODAY()&lt;150,"RENOVAÇÃO",)))))</f>
        <v>Vencida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34.5" customHeight="1" x14ac:dyDescent="0.25">
      <c r="A136" s="6">
        <v>69</v>
      </c>
      <c r="B136" s="7">
        <v>4429</v>
      </c>
      <c r="C136" s="8">
        <v>2018</v>
      </c>
      <c r="D136" s="8" t="s">
        <v>405</v>
      </c>
      <c r="E136" s="8" t="s">
        <v>27</v>
      </c>
      <c r="F136" s="8" t="s">
        <v>16</v>
      </c>
      <c r="G136" s="8" t="s">
        <v>58</v>
      </c>
      <c r="H136" s="9" t="s">
        <v>18</v>
      </c>
      <c r="I136" s="8" t="s">
        <v>19</v>
      </c>
      <c r="J136" s="8" t="s">
        <v>95</v>
      </c>
      <c r="K136" s="10" t="s">
        <v>21</v>
      </c>
      <c r="L136" s="10">
        <v>47915</v>
      </c>
      <c r="M136" s="14">
        <v>46454</v>
      </c>
      <c r="N136" s="10">
        <f t="shared" si="24"/>
        <v>47795</v>
      </c>
      <c r="O136" s="11" t="str">
        <f t="shared" ca="1" si="25"/>
        <v>Válida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34.5" customHeight="1" x14ac:dyDescent="0.25">
      <c r="A137" s="6">
        <v>69</v>
      </c>
      <c r="B137" s="7" t="s">
        <v>1811</v>
      </c>
      <c r="C137" s="8">
        <v>2018</v>
      </c>
      <c r="D137" s="8" t="s">
        <v>406</v>
      </c>
      <c r="E137" s="8" t="s">
        <v>27</v>
      </c>
      <c r="F137" s="8" t="s">
        <v>16</v>
      </c>
      <c r="G137" s="8" t="s">
        <v>407</v>
      </c>
      <c r="H137" s="9" t="s">
        <v>18</v>
      </c>
      <c r="I137" s="8" t="s">
        <v>19</v>
      </c>
      <c r="J137" s="8" t="s">
        <v>95</v>
      </c>
      <c r="K137" s="10" t="s">
        <v>21</v>
      </c>
      <c r="L137" s="10">
        <v>47915</v>
      </c>
      <c r="M137" s="14">
        <v>46454</v>
      </c>
      <c r="N137" s="10">
        <f t="shared" si="24"/>
        <v>47795</v>
      </c>
      <c r="O137" s="11" t="str">
        <f t="shared" ca="1" si="25"/>
        <v>Válida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34.5" customHeight="1" x14ac:dyDescent="0.25">
      <c r="A138" s="6">
        <v>69</v>
      </c>
      <c r="B138" s="7" t="s">
        <v>408</v>
      </c>
      <c r="C138" s="16">
        <v>2018</v>
      </c>
      <c r="D138" s="16" t="s">
        <v>409</v>
      </c>
      <c r="E138" s="16" t="s">
        <v>27</v>
      </c>
      <c r="F138" s="16" t="s">
        <v>16</v>
      </c>
      <c r="G138" s="16" t="s">
        <v>195</v>
      </c>
      <c r="H138" s="18" t="s">
        <v>18</v>
      </c>
      <c r="I138" s="16" t="s">
        <v>19</v>
      </c>
      <c r="J138" s="16" t="s">
        <v>95</v>
      </c>
      <c r="K138" s="19" t="s">
        <v>21</v>
      </c>
      <c r="L138" s="19">
        <v>47924</v>
      </c>
      <c r="M138" s="19">
        <v>46463</v>
      </c>
      <c r="N138" s="19">
        <v>47804</v>
      </c>
      <c r="O138" s="20" t="str">
        <f t="shared" ca="1" si="25"/>
        <v>Válida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34.5" customHeight="1" x14ac:dyDescent="0.25">
      <c r="A139" s="6">
        <v>70</v>
      </c>
      <c r="B139" s="7" t="s">
        <v>1833</v>
      </c>
      <c r="C139" s="8">
        <v>2024</v>
      </c>
      <c r="D139" s="8" t="s">
        <v>410</v>
      </c>
      <c r="E139" s="8" t="s">
        <v>411</v>
      </c>
      <c r="F139" s="8" t="s">
        <v>16</v>
      </c>
      <c r="G139" s="8" t="s">
        <v>412</v>
      </c>
      <c r="H139" s="9" t="s">
        <v>18</v>
      </c>
      <c r="I139" s="8" t="s">
        <v>19</v>
      </c>
      <c r="J139" s="8" t="s">
        <v>413</v>
      </c>
      <c r="K139" s="10" t="s">
        <v>21</v>
      </c>
      <c r="L139" s="10">
        <v>47924</v>
      </c>
      <c r="M139" s="10">
        <v>46463</v>
      </c>
      <c r="N139" s="10">
        <f t="shared" ref="N139:N144" si="26">L139-120</f>
        <v>47804</v>
      </c>
      <c r="O139" s="11" t="str">
        <f t="shared" ca="1" si="25"/>
        <v>Válida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34.5" customHeight="1" x14ac:dyDescent="0.25">
      <c r="A140" s="6">
        <v>71</v>
      </c>
      <c r="B140" s="7">
        <v>2471</v>
      </c>
      <c r="C140" s="8">
        <v>2021</v>
      </c>
      <c r="D140" s="8" t="s">
        <v>414</v>
      </c>
      <c r="E140" s="8" t="s">
        <v>415</v>
      </c>
      <c r="F140" s="8" t="s">
        <v>104</v>
      </c>
      <c r="G140" s="8" t="s">
        <v>416</v>
      </c>
      <c r="H140" s="8" t="s">
        <v>417</v>
      </c>
      <c r="I140" s="8" t="s">
        <v>19</v>
      </c>
      <c r="J140" s="8" t="s">
        <v>418</v>
      </c>
      <c r="K140" s="10" t="s">
        <v>21</v>
      </c>
      <c r="L140" s="10">
        <v>46368</v>
      </c>
      <c r="M140" s="10">
        <v>46248</v>
      </c>
      <c r="N140" s="13">
        <f t="shared" si="26"/>
        <v>46248</v>
      </c>
      <c r="O140" s="11" t="str">
        <f t="shared" ca="1" si="25"/>
        <v>Válida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34.5" customHeight="1" x14ac:dyDescent="0.25">
      <c r="A141" s="6">
        <v>71</v>
      </c>
      <c r="B141" s="7">
        <v>5612</v>
      </c>
      <c r="C141" s="21">
        <v>2019</v>
      </c>
      <c r="D141" s="8" t="s">
        <v>419</v>
      </c>
      <c r="E141" s="8" t="s">
        <v>420</v>
      </c>
      <c r="F141" s="8" t="s">
        <v>104</v>
      </c>
      <c r="G141" s="8" t="s">
        <v>421</v>
      </c>
      <c r="H141" s="8" t="s">
        <v>417</v>
      </c>
      <c r="I141" s="8" t="s">
        <v>19</v>
      </c>
      <c r="J141" s="8" t="s">
        <v>418</v>
      </c>
      <c r="K141" s="10" t="s">
        <v>21</v>
      </c>
      <c r="L141" s="10">
        <v>46258</v>
      </c>
      <c r="M141" s="10">
        <v>46138</v>
      </c>
      <c r="N141" s="13">
        <f t="shared" si="26"/>
        <v>46138</v>
      </c>
      <c r="O141" s="11" t="str">
        <f t="shared" ca="1" si="25"/>
        <v>Válida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34.5" customHeight="1" x14ac:dyDescent="0.25">
      <c r="A142" s="6">
        <v>71</v>
      </c>
      <c r="B142" s="7" t="s">
        <v>1802</v>
      </c>
      <c r="C142" s="204">
        <v>2026</v>
      </c>
      <c r="D142" s="192" t="s">
        <v>1798</v>
      </c>
      <c r="E142" s="192" t="s">
        <v>1799</v>
      </c>
      <c r="F142" s="192" t="s">
        <v>1800</v>
      </c>
      <c r="G142" s="192" t="s">
        <v>1801</v>
      </c>
      <c r="H142" s="192"/>
      <c r="I142" s="192" t="s">
        <v>112</v>
      </c>
      <c r="J142" s="192"/>
      <c r="K142" s="194" t="s">
        <v>21</v>
      </c>
      <c r="L142" s="194"/>
      <c r="M142" s="194"/>
      <c r="N142" s="198"/>
      <c r="O142" s="19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34.5" customHeight="1" x14ac:dyDescent="0.25">
      <c r="A143" s="6">
        <v>72</v>
      </c>
      <c r="B143" s="39" t="s">
        <v>1830</v>
      </c>
      <c r="C143" s="15">
        <v>2024</v>
      </c>
      <c r="D143" s="15" t="s">
        <v>422</v>
      </c>
      <c r="E143" s="8" t="s">
        <v>423</v>
      </c>
      <c r="F143" s="8" t="s">
        <v>16</v>
      </c>
      <c r="G143" s="8" t="s">
        <v>17</v>
      </c>
      <c r="H143" s="9" t="s">
        <v>18</v>
      </c>
      <c r="I143" s="8" t="s">
        <v>19</v>
      </c>
      <c r="J143" s="15"/>
      <c r="K143" s="10" t="s">
        <v>21</v>
      </c>
      <c r="L143" s="10">
        <v>47923</v>
      </c>
      <c r="M143" s="14">
        <v>46462</v>
      </c>
      <c r="N143" s="10">
        <f t="shared" si="26"/>
        <v>47803</v>
      </c>
      <c r="O143" s="41" t="str">
        <f t="shared" ca="1" si="25"/>
        <v>Válida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34.5" customHeight="1" x14ac:dyDescent="0.25">
      <c r="A144" s="6">
        <v>73</v>
      </c>
      <c r="B144" s="39">
        <v>2041</v>
      </c>
      <c r="C144" s="15">
        <v>2011</v>
      </c>
      <c r="D144" s="15" t="s">
        <v>424</v>
      </c>
      <c r="E144" s="8" t="s">
        <v>425</v>
      </c>
      <c r="F144" s="8" t="s">
        <v>16</v>
      </c>
      <c r="G144" s="8" t="s">
        <v>17</v>
      </c>
      <c r="H144" s="9" t="s">
        <v>18</v>
      </c>
      <c r="I144" s="8" t="s">
        <v>19</v>
      </c>
      <c r="J144" s="15" t="s">
        <v>310</v>
      </c>
      <c r="K144" s="10" t="s">
        <v>21</v>
      </c>
      <c r="L144" s="14">
        <v>47243</v>
      </c>
      <c r="M144" s="14">
        <v>46508</v>
      </c>
      <c r="N144" s="10">
        <f t="shared" si="26"/>
        <v>47123</v>
      </c>
      <c r="O144" s="41" t="str">
        <f t="shared" ca="1" si="25"/>
        <v>Válida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34.5" customHeight="1" x14ac:dyDescent="0.25">
      <c r="A145" s="6">
        <v>74</v>
      </c>
      <c r="B145" s="7">
        <v>584</v>
      </c>
      <c r="C145" s="8">
        <v>2023</v>
      </c>
      <c r="D145" s="8" t="s">
        <v>426</v>
      </c>
      <c r="E145" s="8" t="s">
        <v>415</v>
      </c>
      <c r="F145" s="8" t="s">
        <v>104</v>
      </c>
      <c r="G145" s="8" t="s">
        <v>427</v>
      </c>
      <c r="H145" s="8" t="s">
        <v>417</v>
      </c>
      <c r="I145" s="8" t="s">
        <v>19</v>
      </c>
      <c r="J145" s="8" t="s">
        <v>428</v>
      </c>
      <c r="K145" s="10" t="s">
        <v>21</v>
      </c>
      <c r="L145" s="10">
        <v>46782</v>
      </c>
      <c r="M145" s="10">
        <v>46402</v>
      </c>
      <c r="N145" s="13">
        <v>46660</v>
      </c>
      <c r="O145" s="11" t="str">
        <f t="shared" ca="1" si="25"/>
        <v>Válida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34.5" customHeight="1" x14ac:dyDescent="0.25">
      <c r="A146" s="6">
        <v>75</v>
      </c>
      <c r="B146" s="39">
        <v>26768</v>
      </c>
      <c r="C146" s="15">
        <v>2023</v>
      </c>
      <c r="D146" s="15" t="s">
        <v>429</v>
      </c>
      <c r="E146" s="8" t="s">
        <v>430</v>
      </c>
      <c r="F146" s="8" t="s">
        <v>431</v>
      </c>
      <c r="G146" s="8" t="s">
        <v>432</v>
      </c>
      <c r="H146" s="9"/>
      <c r="I146" s="8" t="s">
        <v>112</v>
      </c>
      <c r="J146" s="15"/>
      <c r="K146" s="10" t="s">
        <v>433</v>
      </c>
      <c r="L146" s="14">
        <v>46620</v>
      </c>
      <c r="M146" s="14">
        <v>45892</v>
      </c>
      <c r="N146" s="10">
        <f t="shared" ref="N146:N149" si="27">L146-120</f>
        <v>46500</v>
      </c>
      <c r="O146" s="41" t="str">
        <f t="shared" ca="1" si="25"/>
        <v>Válida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34.5" customHeight="1" x14ac:dyDescent="0.25">
      <c r="A147" s="6">
        <v>75</v>
      </c>
      <c r="B147" s="39" t="s">
        <v>1821</v>
      </c>
      <c r="C147" s="15">
        <v>2025</v>
      </c>
      <c r="D147" s="15" t="s">
        <v>429</v>
      </c>
      <c r="E147" s="8" t="s">
        <v>430</v>
      </c>
      <c r="F147" s="8" t="s">
        <v>431</v>
      </c>
      <c r="G147" s="8" t="s">
        <v>432</v>
      </c>
      <c r="H147" s="9"/>
      <c r="I147" s="8" t="s">
        <v>112</v>
      </c>
      <c r="J147" s="15"/>
      <c r="K147" s="10" t="s">
        <v>433</v>
      </c>
      <c r="L147" s="14">
        <v>46821</v>
      </c>
      <c r="M147" s="14">
        <v>46455</v>
      </c>
      <c r="N147" s="10">
        <f t="shared" si="27"/>
        <v>46701</v>
      </c>
      <c r="O147" s="41" t="str">
        <f t="shared" ca="1" si="25"/>
        <v>Válida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34.5" customHeight="1" x14ac:dyDescent="0.25">
      <c r="A148" s="6">
        <v>76</v>
      </c>
      <c r="B148" s="39">
        <v>153211</v>
      </c>
      <c r="C148" s="15">
        <v>2022</v>
      </c>
      <c r="D148" s="15" t="s">
        <v>434</v>
      </c>
      <c r="E148" s="8" t="s">
        <v>435</v>
      </c>
      <c r="F148" s="8" t="s">
        <v>436</v>
      </c>
      <c r="G148" s="8" t="s">
        <v>437</v>
      </c>
      <c r="H148" s="9"/>
      <c r="I148" s="8" t="s">
        <v>19</v>
      </c>
      <c r="J148" s="15"/>
      <c r="K148" s="10" t="s">
        <v>433</v>
      </c>
      <c r="L148" s="14">
        <v>46564</v>
      </c>
      <c r="M148" s="14">
        <v>46174</v>
      </c>
      <c r="N148" s="10">
        <f t="shared" si="27"/>
        <v>46444</v>
      </c>
      <c r="O148" s="41" t="s">
        <v>30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34.5" customHeight="1" x14ac:dyDescent="0.25">
      <c r="A149" s="6">
        <v>76</v>
      </c>
      <c r="B149" s="39">
        <v>183643</v>
      </c>
      <c r="C149" s="15">
        <v>2020</v>
      </c>
      <c r="D149" s="15" t="s">
        <v>438</v>
      </c>
      <c r="E149" s="8" t="s">
        <v>439</v>
      </c>
      <c r="F149" s="8" t="s">
        <v>436</v>
      </c>
      <c r="G149" s="8" t="s">
        <v>437</v>
      </c>
      <c r="H149" s="9"/>
      <c r="I149" s="8" t="s">
        <v>19</v>
      </c>
      <c r="J149" s="15"/>
      <c r="K149" s="10" t="s">
        <v>433</v>
      </c>
      <c r="L149" s="14">
        <v>45879</v>
      </c>
      <c r="M149" s="14">
        <v>45759</v>
      </c>
      <c r="N149" s="10">
        <f t="shared" si="27"/>
        <v>45759</v>
      </c>
      <c r="O149" s="41" t="s">
        <v>30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34.5" customHeight="1" x14ac:dyDescent="0.25">
      <c r="A150" s="6">
        <v>77</v>
      </c>
      <c r="B150" s="39" t="s">
        <v>440</v>
      </c>
      <c r="C150" s="15">
        <v>2025</v>
      </c>
      <c r="D150" s="15" t="s">
        <v>441</v>
      </c>
      <c r="E150" s="8" t="s">
        <v>442</v>
      </c>
      <c r="F150" s="8" t="s">
        <v>16</v>
      </c>
      <c r="G150" s="8" t="s">
        <v>443</v>
      </c>
      <c r="H150" s="9"/>
      <c r="I150" s="8" t="s">
        <v>19</v>
      </c>
      <c r="J150" s="15"/>
      <c r="K150" s="10" t="s">
        <v>21</v>
      </c>
      <c r="L150" s="14">
        <v>46211</v>
      </c>
      <c r="M150" s="14">
        <v>46089</v>
      </c>
      <c r="N150" s="10">
        <v>46089</v>
      </c>
      <c r="O150" s="41" t="str">
        <f ca="1">IF(L150&gt;TODAY(),"Válida",IF(ISBLANK(L150),"Andamento",IF(L150&lt;TODAY(),"Vencida",IF(L150-TODAY()&lt;90,"URGENTE",IF(L150-TODAY()&lt;150,"RENOVAÇÃO",)))))</f>
        <v>Válida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34.5" customHeight="1" x14ac:dyDescent="0.25">
      <c r="A151" s="6">
        <v>78</v>
      </c>
      <c r="B151" s="39">
        <v>187</v>
      </c>
      <c r="C151" s="15">
        <v>2025</v>
      </c>
      <c r="D151" s="15" t="s">
        <v>444</v>
      </c>
      <c r="E151" s="8" t="s">
        <v>27</v>
      </c>
      <c r="F151" s="8" t="s">
        <v>445</v>
      </c>
      <c r="G151" s="8" t="s">
        <v>217</v>
      </c>
      <c r="H151" s="9"/>
      <c r="I151" s="8" t="s">
        <v>112</v>
      </c>
      <c r="J151" s="15"/>
      <c r="K151" s="10" t="s">
        <v>21</v>
      </c>
      <c r="L151" s="14">
        <v>46429</v>
      </c>
      <c r="M151" s="14">
        <v>46306</v>
      </c>
      <c r="N151" s="10">
        <v>46306</v>
      </c>
      <c r="O151" s="41" t="s">
        <v>30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34.5" customHeight="1" x14ac:dyDescent="0.25">
      <c r="A152" s="6">
        <v>79</v>
      </c>
      <c r="B152" s="7">
        <v>4635</v>
      </c>
      <c r="C152" s="8">
        <v>2019</v>
      </c>
      <c r="D152" s="8" t="s">
        <v>446</v>
      </c>
      <c r="E152" s="8" t="s">
        <v>27</v>
      </c>
      <c r="F152" s="8" t="s">
        <v>16</v>
      </c>
      <c r="G152" s="8" t="s">
        <v>258</v>
      </c>
      <c r="H152" s="9" t="s">
        <v>18</v>
      </c>
      <c r="I152" s="8" t="s">
        <v>19</v>
      </c>
      <c r="J152" s="8" t="s">
        <v>95</v>
      </c>
      <c r="K152" s="10" t="s">
        <v>21</v>
      </c>
      <c r="L152" s="10">
        <v>46269</v>
      </c>
      <c r="M152" s="10">
        <v>46149</v>
      </c>
      <c r="N152" s="10">
        <f t="shared" ref="N152:N153" si="28">L152-120</f>
        <v>46149</v>
      </c>
      <c r="O152" s="11" t="str">
        <f t="shared" ref="O152:O153" ca="1" si="29">IF(L152&gt;TODAY(),"Válida",IF(ISBLANK(L152),"Andamento",IF(L152&lt;TODAY(),"Vencida",IF(L152-TODAY()&lt;90,"URGENTE",IF(L152-TODAY()&lt;150,"RENOVAÇÃO",)))))</f>
        <v>Válida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34.5" customHeight="1" x14ac:dyDescent="0.25">
      <c r="A153" s="6">
        <v>80</v>
      </c>
      <c r="B153" s="39">
        <v>370</v>
      </c>
      <c r="C153" s="15">
        <v>2022</v>
      </c>
      <c r="D153" s="15" t="s">
        <v>447</v>
      </c>
      <c r="E153" s="8" t="s">
        <v>27</v>
      </c>
      <c r="F153" s="8" t="s">
        <v>129</v>
      </c>
      <c r="G153" s="8" t="s">
        <v>448</v>
      </c>
      <c r="H153" s="9"/>
      <c r="I153" s="8" t="s">
        <v>19</v>
      </c>
      <c r="J153" s="15"/>
      <c r="K153" s="10" t="s">
        <v>21</v>
      </c>
      <c r="L153" s="14">
        <v>46574</v>
      </c>
      <c r="M153" s="14">
        <v>46204</v>
      </c>
      <c r="N153" s="10">
        <f t="shared" si="28"/>
        <v>46454</v>
      </c>
      <c r="O153" s="41" t="str">
        <f t="shared" ca="1" si="29"/>
        <v>Válida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34.5" customHeight="1" x14ac:dyDescent="0.25">
      <c r="A154" s="42">
        <v>81</v>
      </c>
      <c r="B154" s="39">
        <v>7067</v>
      </c>
      <c r="C154" s="15">
        <v>2022</v>
      </c>
      <c r="D154" s="15" t="s">
        <v>449</v>
      </c>
      <c r="E154" s="8" t="s">
        <v>450</v>
      </c>
      <c r="F154" s="8" t="s">
        <v>16</v>
      </c>
      <c r="G154" s="8" t="s">
        <v>432</v>
      </c>
      <c r="H154" s="9"/>
      <c r="I154" s="8" t="s">
        <v>19</v>
      </c>
      <c r="J154" s="15"/>
      <c r="K154" s="10" t="s">
        <v>21</v>
      </c>
      <c r="L154" s="15" t="s">
        <v>451</v>
      </c>
      <c r="M154" s="15" t="s">
        <v>451</v>
      </c>
      <c r="N154" s="15" t="s">
        <v>451</v>
      </c>
      <c r="O154" s="15" t="s">
        <v>451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34.5" customHeight="1" x14ac:dyDescent="0.25">
      <c r="A155" s="6">
        <v>82</v>
      </c>
      <c r="B155" s="39">
        <v>24</v>
      </c>
      <c r="C155" s="15">
        <v>2021</v>
      </c>
      <c r="D155" s="15" t="s">
        <v>452</v>
      </c>
      <c r="E155" s="8" t="s">
        <v>27</v>
      </c>
      <c r="F155" s="8" t="s">
        <v>453</v>
      </c>
      <c r="G155" s="8" t="s">
        <v>217</v>
      </c>
      <c r="H155" s="9"/>
      <c r="I155" s="8" t="s">
        <v>19</v>
      </c>
      <c r="J155" s="15"/>
      <c r="K155" s="10" t="s">
        <v>21</v>
      </c>
      <c r="L155" s="14">
        <v>45830</v>
      </c>
      <c r="M155" s="14">
        <v>45710</v>
      </c>
      <c r="N155" s="10">
        <v>45710</v>
      </c>
      <c r="O155" s="41" t="s">
        <v>30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34.5" customHeight="1" x14ac:dyDescent="0.25">
      <c r="A156" s="6">
        <v>83</v>
      </c>
      <c r="B156" s="7">
        <v>4634</v>
      </c>
      <c r="C156" s="8">
        <v>2019</v>
      </c>
      <c r="D156" s="8" t="s">
        <v>454</v>
      </c>
      <c r="E156" s="8" t="s">
        <v>294</v>
      </c>
      <c r="F156" s="8" t="s">
        <v>16</v>
      </c>
      <c r="G156" s="8" t="s">
        <v>17</v>
      </c>
      <c r="H156" s="9" t="s">
        <v>18</v>
      </c>
      <c r="I156" s="8" t="s">
        <v>455</v>
      </c>
      <c r="J156" s="8" t="s">
        <v>95</v>
      </c>
      <c r="K156" s="10" t="s">
        <v>21</v>
      </c>
      <c r="L156" s="10" t="s">
        <v>90</v>
      </c>
      <c r="M156" s="10" t="s">
        <v>170</v>
      </c>
      <c r="N156" s="10" t="s">
        <v>90</v>
      </c>
      <c r="O156" s="11" t="str">
        <f t="shared" ref="O156:O158" ca="1" si="30">IF(L156&gt;TODAY(),"Válida",IF(ISBLANK(L156),"Andamento",IF(L156&lt;TODAY(),"Vencida",IF(L156-TODAY()&lt;90,"URGENTE",IF(L156-TODAY()&lt;150,"RENOVAÇÃO",)))))</f>
        <v>Válida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34.5" customHeight="1" x14ac:dyDescent="0.25">
      <c r="A157" s="6">
        <v>84</v>
      </c>
      <c r="B157" s="7">
        <v>5825</v>
      </c>
      <c r="C157" s="15">
        <v>2021</v>
      </c>
      <c r="D157" s="8" t="s">
        <v>456</v>
      </c>
      <c r="E157" s="8" t="s">
        <v>27</v>
      </c>
      <c r="F157" s="8" t="s">
        <v>16</v>
      </c>
      <c r="G157" s="8" t="s">
        <v>457</v>
      </c>
      <c r="H157" s="9" t="s">
        <v>18</v>
      </c>
      <c r="I157" s="8" t="s">
        <v>19</v>
      </c>
      <c r="J157" s="8" t="s">
        <v>95</v>
      </c>
      <c r="K157" s="8" t="s">
        <v>21</v>
      </c>
      <c r="L157" s="10">
        <v>45740</v>
      </c>
      <c r="M157" s="10">
        <v>45620</v>
      </c>
      <c r="N157" s="10">
        <f t="shared" ref="N157:N158" si="31">L157-120</f>
        <v>45620</v>
      </c>
      <c r="O157" s="11" t="str">
        <f t="shared" ca="1" si="30"/>
        <v>Vencida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34.5" customHeight="1" x14ac:dyDescent="0.25">
      <c r="A158" s="6">
        <v>84</v>
      </c>
      <c r="B158" s="7">
        <v>5360</v>
      </c>
      <c r="C158" s="16">
        <v>2020</v>
      </c>
      <c r="D158" s="16" t="s">
        <v>458</v>
      </c>
      <c r="E158" s="16" t="s">
        <v>459</v>
      </c>
      <c r="F158" s="16" t="s">
        <v>16</v>
      </c>
      <c r="G158" s="16" t="s">
        <v>460</v>
      </c>
      <c r="H158" s="18" t="s">
        <v>18</v>
      </c>
      <c r="I158" s="16" t="s">
        <v>19</v>
      </c>
      <c r="J158" s="16" t="s">
        <v>95</v>
      </c>
      <c r="K158" s="19" t="s">
        <v>21</v>
      </c>
      <c r="L158" s="19">
        <v>46280</v>
      </c>
      <c r="M158" s="19">
        <v>46160</v>
      </c>
      <c r="N158" s="19">
        <f t="shared" si="31"/>
        <v>46160</v>
      </c>
      <c r="O158" s="11" t="str">
        <f t="shared" ca="1" si="30"/>
        <v>Válida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34.5" customHeight="1" x14ac:dyDescent="0.25">
      <c r="A159" s="6">
        <v>85</v>
      </c>
      <c r="B159" s="7">
        <v>7328</v>
      </c>
      <c r="C159" s="8">
        <v>2023</v>
      </c>
      <c r="D159" s="8" t="s">
        <v>461</v>
      </c>
      <c r="E159" s="8" t="s">
        <v>294</v>
      </c>
      <c r="F159" s="8" t="s">
        <v>16</v>
      </c>
      <c r="G159" s="8" t="s">
        <v>17</v>
      </c>
      <c r="H159" s="9"/>
      <c r="I159" s="8" t="s">
        <v>19</v>
      </c>
      <c r="J159" s="8"/>
      <c r="K159" s="10" t="s">
        <v>21</v>
      </c>
      <c r="L159" s="10">
        <v>47073</v>
      </c>
      <c r="M159" s="10">
        <v>46219</v>
      </c>
      <c r="N159" s="10">
        <v>46950</v>
      </c>
      <c r="O159" s="11" t="s">
        <v>30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34.5" customHeight="1" x14ac:dyDescent="0.25">
      <c r="A160" s="6">
        <v>86</v>
      </c>
      <c r="B160" s="7">
        <v>8026</v>
      </c>
      <c r="C160" s="8">
        <v>2024</v>
      </c>
      <c r="D160" s="8" t="s">
        <v>234</v>
      </c>
      <c r="E160" s="8" t="s">
        <v>462</v>
      </c>
      <c r="F160" s="8" t="s">
        <v>16</v>
      </c>
      <c r="G160" s="8" t="s">
        <v>168</v>
      </c>
      <c r="H160" s="9"/>
      <c r="I160" s="8" t="s">
        <v>49</v>
      </c>
      <c r="J160" s="8"/>
      <c r="K160" s="10" t="s">
        <v>21</v>
      </c>
      <c r="L160" s="10" t="s">
        <v>90</v>
      </c>
      <c r="M160" s="10" t="s">
        <v>90</v>
      </c>
      <c r="N160" s="10" t="s">
        <v>90</v>
      </c>
      <c r="O160" s="11" t="s">
        <v>30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34.5" customHeight="1" x14ac:dyDescent="0.25">
      <c r="A161" s="6">
        <v>86</v>
      </c>
      <c r="B161" s="7">
        <v>8027</v>
      </c>
      <c r="C161" s="8">
        <v>2024</v>
      </c>
      <c r="D161" s="8" t="s">
        <v>463</v>
      </c>
      <c r="E161" s="8" t="s">
        <v>464</v>
      </c>
      <c r="F161" s="8" t="s">
        <v>16</v>
      </c>
      <c r="G161" s="8" t="s">
        <v>168</v>
      </c>
      <c r="H161" s="9"/>
      <c r="I161" s="8" t="s">
        <v>49</v>
      </c>
      <c r="J161" s="8"/>
      <c r="K161" s="10" t="s">
        <v>21</v>
      </c>
      <c r="L161" s="10" t="s">
        <v>90</v>
      </c>
      <c r="M161" s="10" t="s">
        <v>170</v>
      </c>
      <c r="N161" s="10" t="s">
        <v>90</v>
      </c>
      <c r="O161" s="11" t="s">
        <v>30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34.5" customHeight="1" x14ac:dyDescent="0.25">
      <c r="A162" s="6">
        <v>86</v>
      </c>
      <c r="B162" s="7">
        <v>9001</v>
      </c>
      <c r="C162" s="8">
        <v>2024</v>
      </c>
      <c r="D162" s="8" t="s">
        <v>465</v>
      </c>
      <c r="E162" s="8" t="s">
        <v>466</v>
      </c>
      <c r="F162" s="8" t="s">
        <v>16</v>
      </c>
      <c r="G162" s="8" t="s">
        <v>142</v>
      </c>
      <c r="H162" s="9"/>
      <c r="I162" s="8" t="s">
        <v>49</v>
      </c>
      <c r="J162" s="8"/>
      <c r="K162" s="10" t="s">
        <v>21</v>
      </c>
      <c r="L162" s="10" t="s">
        <v>90</v>
      </c>
      <c r="M162" s="10" t="s">
        <v>170</v>
      </c>
      <c r="N162" s="10" t="s">
        <v>90</v>
      </c>
      <c r="O162" s="11" t="s">
        <v>30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34.5" customHeight="1" x14ac:dyDescent="0.25">
      <c r="A163" s="6">
        <v>86</v>
      </c>
      <c r="B163" s="7">
        <v>9104</v>
      </c>
      <c r="C163" s="8">
        <v>2024</v>
      </c>
      <c r="D163" s="8" t="s">
        <v>467</v>
      </c>
      <c r="E163" s="8" t="s">
        <v>468</v>
      </c>
      <c r="F163" s="8" t="s">
        <v>16</v>
      </c>
      <c r="G163" s="8" t="s">
        <v>71</v>
      </c>
      <c r="H163" s="9"/>
      <c r="I163" s="8" t="s">
        <v>49</v>
      </c>
      <c r="J163" s="8"/>
      <c r="K163" s="10" t="s">
        <v>21</v>
      </c>
      <c r="L163" s="10" t="s">
        <v>90</v>
      </c>
      <c r="M163" s="10" t="s">
        <v>90</v>
      </c>
      <c r="N163" s="10" t="s">
        <v>90</v>
      </c>
      <c r="O163" s="11" t="s">
        <v>30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34.5" customHeight="1" x14ac:dyDescent="0.25">
      <c r="A164" s="6">
        <v>86</v>
      </c>
      <c r="B164" s="7">
        <v>8097</v>
      </c>
      <c r="C164" s="8">
        <v>2024</v>
      </c>
      <c r="D164" s="8" t="s">
        <v>469</v>
      </c>
      <c r="E164" s="8" t="s">
        <v>470</v>
      </c>
      <c r="F164" s="8" t="s">
        <v>16</v>
      </c>
      <c r="G164" s="8" t="s">
        <v>195</v>
      </c>
      <c r="H164" s="9"/>
      <c r="I164" s="8" t="s">
        <v>49</v>
      </c>
      <c r="J164" s="8"/>
      <c r="K164" s="10" t="s">
        <v>21</v>
      </c>
      <c r="L164" s="10" t="s">
        <v>90</v>
      </c>
      <c r="M164" s="10" t="s">
        <v>90</v>
      </c>
      <c r="N164" s="10" t="s">
        <v>90</v>
      </c>
      <c r="O164" s="11" t="s">
        <v>30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34.5" customHeight="1" x14ac:dyDescent="0.25">
      <c r="A165" s="6">
        <v>87</v>
      </c>
      <c r="B165" s="7">
        <v>4161</v>
      </c>
      <c r="C165" s="8">
        <v>2018</v>
      </c>
      <c r="D165" s="8" t="s">
        <v>471</v>
      </c>
      <c r="E165" s="8" t="s">
        <v>472</v>
      </c>
      <c r="F165" s="8" t="s">
        <v>16</v>
      </c>
      <c r="G165" s="8" t="s">
        <v>473</v>
      </c>
      <c r="H165" s="8" t="s">
        <v>417</v>
      </c>
      <c r="I165" s="8" t="s">
        <v>19</v>
      </c>
      <c r="J165" s="8" t="s">
        <v>474</v>
      </c>
      <c r="K165" s="10" t="s">
        <v>21</v>
      </c>
      <c r="L165" s="10" t="s">
        <v>136</v>
      </c>
      <c r="M165" s="10" t="s">
        <v>136</v>
      </c>
      <c r="N165" s="13" t="s">
        <v>136</v>
      </c>
      <c r="O165" s="11" t="s">
        <v>246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34.5" customHeight="1" x14ac:dyDescent="0.25">
      <c r="A166" s="6">
        <v>87</v>
      </c>
      <c r="B166" s="7">
        <v>8813</v>
      </c>
      <c r="C166" s="8">
        <v>2024</v>
      </c>
      <c r="D166" s="8" t="s">
        <v>475</v>
      </c>
      <c r="E166" s="8" t="s">
        <v>476</v>
      </c>
      <c r="F166" s="8" t="s">
        <v>16</v>
      </c>
      <c r="G166" s="8" t="s">
        <v>473</v>
      </c>
      <c r="H166" s="8"/>
      <c r="I166" s="8" t="s">
        <v>19</v>
      </c>
      <c r="J166" s="8"/>
      <c r="K166" s="10" t="s">
        <v>262</v>
      </c>
      <c r="L166" s="10">
        <v>45983</v>
      </c>
      <c r="M166" s="10">
        <v>45860</v>
      </c>
      <c r="N166" s="13">
        <v>45860</v>
      </c>
      <c r="O166" s="11" t="s">
        <v>30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34.5" customHeight="1" x14ac:dyDescent="0.25">
      <c r="A167" s="6">
        <v>88</v>
      </c>
      <c r="B167" s="7"/>
      <c r="C167" s="23">
        <v>2024</v>
      </c>
      <c r="D167" s="23" t="s">
        <v>477</v>
      </c>
      <c r="E167" s="23" t="s">
        <v>478</v>
      </c>
      <c r="F167" s="23" t="s">
        <v>16</v>
      </c>
      <c r="G167" s="23" t="s">
        <v>58</v>
      </c>
      <c r="H167" s="23"/>
      <c r="I167" s="23" t="s">
        <v>19</v>
      </c>
      <c r="J167" s="23"/>
      <c r="K167" s="25" t="s">
        <v>21</v>
      </c>
      <c r="L167" s="25"/>
      <c r="M167" s="25"/>
      <c r="N167" s="40"/>
      <c r="O167" s="26" t="s">
        <v>479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34.5" customHeight="1" x14ac:dyDescent="0.25">
      <c r="A168" s="42">
        <v>89</v>
      </c>
      <c r="B168" s="7">
        <v>29</v>
      </c>
      <c r="C168" s="8">
        <v>2024</v>
      </c>
      <c r="D168" s="8" t="s">
        <v>480</v>
      </c>
      <c r="E168" s="8" t="s">
        <v>481</v>
      </c>
      <c r="F168" s="8" t="s">
        <v>482</v>
      </c>
      <c r="G168" s="8" t="s">
        <v>67</v>
      </c>
      <c r="H168" s="8"/>
      <c r="I168" s="8" t="s">
        <v>163</v>
      </c>
      <c r="J168" s="8"/>
      <c r="K168" s="10" t="s">
        <v>21</v>
      </c>
      <c r="L168" s="10">
        <v>46852</v>
      </c>
      <c r="M168" s="10">
        <v>46121</v>
      </c>
      <c r="N168" s="13">
        <v>46730</v>
      </c>
      <c r="O168" s="11" t="s">
        <v>30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34.5" customHeight="1" x14ac:dyDescent="0.25">
      <c r="A169" s="43">
        <v>90</v>
      </c>
      <c r="B169" s="7">
        <v>6603</v>
      </c>
      <c r="C169" s="21">
        <v>2022</v>
      </c>
      <c r="D169" s="8" t="s">
        <v>483</v>
      </c>
      <c r="E169" s="8" t="s">
        <v>484</v>
      </c>
      <c r="F169" s="8" t="s">
        <v>16</v>
      </c>
      <c r="G169" s="8" t="s">
        <v>485</v>
      </c>
      <c r="H169" s="8"/>
      <c r="I169" s="8" t="s">
        <v>19</v>
      </c>
      <c r="J169" s="8"/>
      <c r="K169" s="10" t="s">
        <v>21</v>
      </c>
      <c r="L169" s="10">
        <v>45520</v>
      </c>
      <c r="M169" s="10">
        <v>45400</v>
      </c>
      <c r="N169" s="13">
        <f>L169-120</f>
        <v>45400</v>
      </c>
      <c r="O169" s="11" t="str">
        <f ca="1">IF(L169&gt;TODAY(),"Válida",IF(ISBLANK(L169),"Andamento",IF(L169&lt;TODAY(),"Vencida",IF(L169-TODAY()&lt;90,"URGENTE",IF(L169-TODAY()&lt;150,"RENOVAÇÃO",)))))</f>
        <v>Vencida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34.5" customHeight="1" x14ac:dyDescent="0.25">
      <c r="A170" s="6">
        <v>91</v>
      </c>
      <c r="B170" s="44">
        <v>5497</v>
      </c>
      <c r="C170" s="21">
        <v>2020</v>
      </c>
      <c r="D170" s="8" t="s">
        <v>486</v>
      </c>
      <c r="E170" s="8" t="s">
        <v>487</v>
      </c>
      <c r="F170" s="8" t="s">
        <v>16</v>
      </c>
      <c r="G170" s="8" t="s">
        <v>142</v>
      </c>
      <c r="H170" s="8"/>
      <c r="I170" s="8" t="s">
        <v>19</v>
      </c>
      <c r="J170" s="8"/>
      <c r="K170" s="10" t="s">
        <v>21</v>
      </c>
      <c r="L170" s="10">
        <v>46213</v>
      </c>
      <c r="M170" s="10">
        <v>46091</v>
      </c>
      <c r="N170" s="13">
        <v>46091</v>
      </c>
      <c r="O170" s="11" t="s">
        <v>30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34.5" customHeight="1" x14ac:dyDescent="0.25">
      <c r="A171" s="6">
        <v>92</v>
      </c>
      <c r="B171" s="44" t="s">
        <v>488</v>
      </c>
      <c r="C171" s="21">
        <v>2024</v>
      </c>
      <c r="D171" s="8" t="s">
        <v>489</v>
      </c>
      <c r="E171" s="8" t="s">
        <v>490</v>
      </c>
      <c r="F171" s="8" t="s">
        <v>445</v>
      </c>
      <c r="G171" s="8" t="s">
        <v>217</v>
      </c>
      <c r="H171" s="8"/>
      <c r="I171" s="8" t="s">
        <v>19</v>
      </c>
      <c r="J171" s="8"/>
      <c r="K171" s="10" t="s">
        <v>21</v>
      </c>
      <c r="L171" s="10">
        <v>46368</v>
      </c>
      <c r="M171" s="10">
        <v>46218</v>
      </c>
      <c r="N171" s="13">
        <v>46246</v>
      </c>
      <c r="O171" s="11" t="s">
        <v>30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34.5" customHeight="1" x14ac:dyDescent="0.25">
      <c r="A172" s="6">
        <v>93</v>
      </c>
      <c r="B172" s="44">
        <v>4327</v>
      </c>
      <c r="C172" s="21">
        <v>2018</v>
      </c>
      <c r="D172" s="8" t="s">
        <v>491</v>
      </c>
      <c r="E172" s="8" t="s">
        <v>492</v>
      </c>
      <c r="F172" s="8" t="s">
        <v>16</v>
      </c>
      <c r="G172" s="8" t="s">
        <v>493</v>
      </c>
      <c r="H172" s="8"/>
      <c r="I172" s="8" t="s">
        <v>112</v>
      </c>
      <c r="J172" s="8"/>
      <c r="K172" s="10" t="s">
        <v>21</v>
      </c>
      <c r="L172" s="10">
        <v>46258</v>
      </c>
      <c r="M172" s="10">
        <v>46136</v>
      </c>
      <c r="N172" s="13">
        <v>46136</v>
      </c>
      <c r="O172" s="11" t="s">
        <v>30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34.5" customHeight="1" x14ac:dyDescent="0.25">
      <c r="A173" s="6">
        <v>94</v>
      </c>
      <c r="B173" s="44" t="s">
        <v>494</v>
      </c>
      <c r="C173" s="21">
        <v>2025</v>
      </c>
      <c r="D173" s="8" t="s">
        <v>495</v>
      </c>
      <c r="E173" s="8" t="s">
        <v>496</v>
      </c>
      <c r="F173" s="8" t="s">
        <v>16</v>
      </c>
      <c r="G173" s="8" t="s">
        <v>24</v>
      </c>
      <c r="H173" s="8"/>
      <c r="I173" s="8" t="s">
        <v>19</v>
      </c>
      <c r="J173" s="8"/>
      <c r="K173" s="10" t="s">
        <v>21</v>
      </c>
      <c r="L173" s="10">
        <v>46265</v>
      </c>
      <c r="M173" s="10">
        <v>46142</v>
      </c>
      <c r="N173" s="13">
        <v>46142</v>
      </c>
      <c r="O173" s="11" t="s">
        <v>30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34.5" customHeight="1" x14ac:dyDescent="0.25">
      <c r="A174" s="6">
        <v>95</v>
      </c>
      <c r="B174" s="44">
        <v>4127</v>
      </c>
      <c r="C174" s="21">
        <v>2018</v>
      </c>
      <c r="D174" s="8" t="s">
        <v>497</v>
      </c>
      <c r="E174" s="8" t="s">
        <v>498</v>
      </c>
      <c r="F174" s="8" t="s">
        <v>16</v>
      </c>
      <c r="G174" s="8" t="s">
        <v>17</v>
      </c>
      <c r="H174" s="8"/>
      <c r="I174" s="8" t="s">
        <v>19</v>
      </c>
      <c r="J174" s="8"/>
      <c r="K174" s="10" t="s">
        <v>21</v>
      </c>
      <c r="L174" s="10">
        <v>46276</v>
      </c>
      <c r="M174" s="10">
        <v>46153</v>
      </c>
      <c r="N174" s="13">
        <v>46153</v>
      </c>
      <c r="O174" s="11" t="s">
        <v>30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34.5" customHeight="1" x14ac:dyDescent="0.25">
      <c r="A175" s="6">
        <v>96</v>
      </c>
      <c r="B175" s="44" t="s">
        <v>499</v>
      </c>
      <c r="C175" s="21">
        <v>2025</v>
      </c>
      <c r="D175" s="8" t="s">
        <v>500</v>
      </c>
      <c r="E175" s="8" t="s">
        <v>501</v>
      </c>
      <c r="F175" s="8" t="s">
        <v>502</v>
      </c>
      <c r="G175" s="8" t="s">
        <v>432</v>
      </c>
      <c r="H175" s="8"/>
      <c r="I175" s="8" t="s">
        <v>19</v>
      </c>
      <c r="J175" s="8"/>
      <c r="K175" s="10" t="s">
        <v>21</v>
      </c>
      <c r="L175" s="10">
        <v>46648</v>
      </c>
      <c r="M175" s="10">
        <v>46283</v>
      </c>
      <c r="N175" s="13">
        <v>46525</v>
      </c>
      <c r="O175" s="11" t="s">
        <v>30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34.5" customHeight="1" x14ac:dyDescent="0.25">
      <c r="A176" s="6">
        <v>97</v>
      </c>
      <c r="B176" s="44" t="s">
        <v>503</v>
      </c>
      <c r="C176" s="21">
        <v>2025</v>
      </c>
      <c r="D176" s="8" t="s">
        <v>504</v>
      </c>
      <c r="E176" s="8" t="s">
        <v>505</v>
      </c>
      <c r="F176" s="8" t="s">
        <v>16</v>
      </c>
      <c r="G176" s="8" t="s">
        <v>506</v>
      </c>
      <c r="H176" s="8"/>
      <c r="I176" s="8" t="s">
        <v>19</v>
      </c>
      <c r="J176" s="8"/>
      <c r="K176" s="10" t="s">
        <v>21</v>
      </c>
      <c r="L176" s="10">
        <v>46329</v>
      </c>
      <c r="M176" s="10">
        <v>46206</v>
      </c>
      <c r="N176" s="13">
        <v>46206</v>
      </c>
      <c r="O176" s="11" t="s">
        <v>30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34.5" customHeight="1" x14ac:dyDescent="0.25">
      <c r="A177" s="43">
        <v>98</v>
      </c>
      <c r="B177" s="45" t="s">
        <v>507</v>
      </c>
      <c r="C177" s="46">
        <v>2025</v>
      </c>
      <c r="D177" s="47" t="s">
        <v>508</v>
      </c>
      <c r="E177" s="47" t="s">
        <v>509</v>
      </c>
      <c r="F177" s="47" t="s">
        <v>16</v>
      </c>
      <c r="G177" s="47" t="s">
        <v>510</v>
      </c>
      <c r="H177" s="47"/>
      <c r="I177" s="47" t="s">
        <v>112</v>
      </c>
      <c r="J177" s="47"/>
      <c r="K177" s="48" t="s">
        <v>21</v>
      </c>
      <c r="L177" s="48">
        <v>46329</v>
      </c>
      <c r="M177" s="48">
        <v>46206</v>
      </c>
      <c r="N177" s="49">
        <v>46206</v>
      </c>
      <c r="O177" s="11" t="s">
        <v>30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34.5" customHeight="1" x14ac:dyDescent="0.25">
      <c r="A178" s="6">
        <v>99</v>
      </c>
      <c r="B178" s="7" t="s">
        <v>511</v>
      </c>
      <c r="C178" s="21">
        <v>2025</v>
      </c>
      <c r="D178" s="8" t="s">
        <v>512</v>
      </c>
      <c r="E178" s="8" t="s">
        <v>513</v>
      </c>
      <c r="F178" s="8" t="s">
        <v>216</v>
      </c>
      <c r="G178" s="8" t="s">
        <v>514</v>
      </c>
      <c r="H178" s="8"/>
      <c r="I178" s="8" t="s">
        <v>19</v>
      </c>
      <c r="J178" s="8"/>
      <c r="K178" s="10" t="s">
        <v>218</v>
      </c>
      <c r="L178" s="10">
        <v>47102</v>
      </c>
      <c r="M178" s="10">
        <v>46371</v>
      </c>
      <c r="N178" s="13">
        <f>L178-120</f>
        <v>46982</v>
      </c>
      <c r="O178" s="50" t="s">
        <v>30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34.5" customHeight="1" x14ac:dyDescent="0.25">
      <c r="A179" s="1" t="s">
        <v>0</v>
      </c>
      <c r="B179" s="51" t="s">
        <v>1</v>
      </c>
      <c r="C179" s="51" t="s">
        <v>2</v>
      </c>
      <c r="D179" s="51" t="s">
        <v>3</v>
      </c>
      <c r="E179" s="51" t="s">
        <v>4</v>
      </c>
      <c r="F179" s="51" t="s">
        <v>5</v>
      </c>
      <c r="G179" s="51" t="s">
        <v>6</v>
      </c>
      <c r="H179" s="51" t="s">
        <v>7</v>
      </c>
      <c r="I179" s="51" t="s">
        <v>8</v>
      </c>
      <c r="J179" s="51" t="s">
        <v>9</v>
      </c>
      <c r="K179" s="51" t="s">
        <v>10</v>
      </c>
      <c r="L179" s="52" t="s">
        <v>11</v>
      </c>
      <c r="M179" s="52" t="s">
        <v>1820</v>
      </c>
      <c r="N179" s="53" t="s">
        <v>12</v>
      </c>
      <c r="O179" s="2" t="s">
        <v>13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34.5" customHeight="1" x14ac:dyDescent="0.25">
      <c r="A180" s="54">
        <v>1</v>
      </c>
      <c r="B180" s="55">
        <v>14717</v>
      </c>
      <c r="C180" s="8">
        <v>2021</v>
      </c>
      <c r="D180" s="8" t="s">
        <v>515</v>
      </c>
      <c r="E180" s="8" t="s">
        <v>516</v>
      </c>
      <c r="F180" s="8" t="s">
        <v>16</v>
      </c>
      <c r="G180" s="8" t="s">
        <v>17</v>
      </c>
      <c r="H180" s="8" t="s">
        <v>417</v>
      </c>
      <c r="I180" s="8" t="s">
        <v>19</v>
      </c>
      <c r="J180" s="8" t="s">
        <v>517</v>
      </c>
      <c r="K180" s="10" t="s">
        <v>262</v>
      </c>
      <c r="L180" s="10">
        <v>46077</v>
      </c>
      <c r="M180" s="10">
        <v>45957</v>
      </c>
      <c r="N180" s="13">
        <f t="shared" ref="N180:N181" si="32">L180-120</f>
        <v>45957</v>
      </c>
      <c r="O180" s="11" t="str">
        <f t="shared" ref="O180:O183" ca="1" si="33">IF(L180&gt;TODAY(),"Válida",IF(ISBLANK(L180),"Andamento",IF(L180&lt;TODAY(),"Vencida",IF(L180-TODAY()&lt;90,"URGENTE",IF(L180-TODAY()&lt;150,"RENOVAÇÃO",)))))</f>
        <v>Vencida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34.5" customHeight="1" x14ac:dyDescent="0.25">
      <c r="A181" s="54">
        <v>2</v>
      </c>
      <c r="B181" s="56">
        <v>995</v>
      </c>
      <c r="C181" s="9">
        <v>2006</v>
      </c>
      <c r="D181" s="9" t="s">
        <v>518</v>
      </c>
      <c r="E181" s="9" t="s">
        <v>519</v>
      </c>
      <c r="F181" s="8" t="s">
        <v>16</v>
      </c>
      <c r="G181" s="9" t="s">
        <v>17</v>
      </c>
      <c r="H181" s="8" t="s">
        <v>417</v>
      </c>
      <c r="I181" s="9" t="s">
        <v>19</v>
      </c>
      <c r="J181" s="9" t="s">
        <v>520</v>
      </c>
      <c r="K181" s="13" t="s">
        <v>21</v>
      </c>
      <c r="L181" s="13">
        <v>46195</v>
      </c>
      <c r="M181" s="13">
        <v>46075</v>
      </c>
      <c r="N181" s="13">
        <f t="shared" si="32"/>
        <v>46075</v>
      </c>
      <c r="O181" s="11" t="str">
        <f t="shared" ca="1" si="33"/>
        <v>Válida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34.5" customHeight="1" x14ac:dyDescent="0.25">
      <c r="A182" s="54">
        <v>3</v>
      </c>
      <c r="B182" s="57">
        <v>6758</v>
      </c>
      <c r="C182" s="8">
        <v>2023</v>
      </c>
      <c r="D182" s="15" t="s">
        <v>521</v>
      </c>
      <c r="E182" s="15" t="s">
        <v>522</v>
      </c>
      <c r="F182" s="15" t="s">
        <v>216</v>
      </c>
      <c r="G182" s="15" t="s">
        <v>48</v>
      </c>
      <c r="H182" s="8"/>
      <c r="I182" s="8" t="s">
        <v>19</v>
      </c>
      <c r="J182" s="8"/>
      <c r="K182" s="10" t="s">
        <v>262</v>
      </c>
      <c r="L182" s="10">
        <v>46620</v>
      </c>
      <c r="M182" s="10">
        <v>46235</v>
      </c>
      <c r="N182" s="10">
        <v>46498</v>
      </c>
      <c r="O182" s="11" t="str">
        <f t="shared" ca="1" si="33"/>
        <v>Válida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34.5" customHeight="1" x14ac:dyDescent="0.25">
      <c r="A183" s="54">
        <v>4</v>
      </c>
      <c r="B183" s="55">
        <v>2083</v>
      </c>
      <c r="C183" s="8">
        <v>2011</v>
      </c>
      <c r="D183" s="8" t="s">
        <v>523</v>
      </c>
      <c r="E183" s="8" t="s">
        <v>524</v>
      </c>
      <c r="F183" s="8" t="s">
        <v>16</v>
      </c>
      <c r="G183" s="8" t="s">
        <v>17</v>
      </c>
      <c r="H183" s="8" t="s">
        <v>417</v>
      </c>
      <c r="I183" s="8" t="s">
        <v>19</v>
      </c>
      <c r="J183" s="8" t="s">
        <v>525</v>
      </c>
      <c r="K183" s="10" t="s">
        <v>21</v>
      </c>
      <c r="L183" s="10">
        <v>46108</v>
      </c>
      <c r="M183" s="10">
        <v>45988</v>
      </c>
      <c r="N183" s="13">
        <f>L183-120</f>
        <v>45988</v>
      </c>
      <c r="O183" s="11" t="str">
        <f t="shared" ca="1" si="33"/>
        <v>URGENTE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34.5" customHeight="1" x14ac:dyDescent="0.25">
      <c r="A184" s="54">
        <v>4</v>
      </c>
      <c r="B184" s="55">
        <v>53088</v>
      </c>
      <c r="C184" s="8">
        <v>2023</v>
      </c>
      <c r="D184" s="8" t="s">
        <v>526</v>
      </c>
      <c r="E184" s="8" t="s">
        <v>524</v>
      </c>
      <c r="F184" s="8" t="s">
        <v>16</v>
      </c>
      <c r="G184" s="8" t="s">
        <v>63</v>
      </c>
      <c r="H184" s="8"/>
      <c r="I184" s="8" t="s">
        <v>19</v>
      </c>
      <c r="J184" s="8"/>
      <c r="K184" s="10" t="s">
        <v>262</v>
      </c>
      <c r="L184" s="10">
        <v>46766</v>
      </c>
      <c r="M184" s="10">
        <v>46401</v>
      </c>
      <c r="N184" s="13">
        <v>46644</v>
      </c>
      <c r="O184" s="11" t="s">
        <v>30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27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34.5" customHeight="1" x14ac:dyDescent="0.25">
      <c r="A185" s="54">
        <v>5</v>
      </c>
      <c r="B185" s="55" t="s">
        <v>527</v>
      </c>
      <c r="C185" s="8">
        <v>2025</v>
      </c>
      <c r="D185" s="8" t="s">
        <v>528</v>
      </c>
      <c r="E185" s="15" t="s">
        <v>529</v>
      </c>
      <c r="F185" s="8" t="s">
        <v>530</v>
      </c>
      <c r="G185" s="8" t="s">
        <v>217</v>
      </c>
      <c r="H185" s="8" t="s">
        <v>417</v>
      </c>
      <c r="I185" s="8" t="s">
        <v>19</v>
      </c>
      <c r="J185" s="8" t="s">
        <v>531</v>
      </c>
      <c r="K185" s="10" t="s">
        <v>21</v>
      </c>
      <c r="L185" s="10">
        <v>46239</v>
      </c>
      <c r="M185" s="10">
        <v>46119</v>
      </c>
      <c r="N185" s="13">
        <f>L185-120</f>
        <v>46119</v>
      </c>
      <c r="O185" s="11" t="s">
        <v>30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34.5" customHeight="1" x14ac:dyDescent="0.25">
      <c r="A186" s="54">
        <v>5</v>
      </c>
      <c r="B186" s="55" t="s">
        <v>532</v>
      </c>
      <c r="C186" s="8">
        <v>2024</v>
      </c>
      <c r="D186" s="8" t="s">
        <v>533</v>
      </c>
      <c r="E186" s="15" t="s">
        <v>534</v>
      </c>
      <c r="F186" s="8" t="s">
        <v>530</v>
      </c>
      <c r="G186" s="8" t="s">
        <v>217</v>
      </c>
      <c r="H186" s="8"/>
      <c r="I186" s="8" t="s">
        <v>19</v>
      </c>
      <c r="J186" s="8"/>
      <c r="K186" s="10" t="s">
        <v>21</v>
      </c>
      <c r="L186" s="10">
        <v>46051</v>
      </c>
      <c r="M186" s="10">
        <v>46051</v>
      </c>
      <c r="N186" s="13">
        <v>45929</v>
      </c>
      <c r="O186" s="11" t="s">
        <v>385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34.5" customHeight="1" x14ac:dyDescent="0.25">
      <c r="A187" s="54">
        <v>6</v>
      </c>
      <c r="B187" s="55">
        <v>3223</v>
      </c>
      <c r="C187" s="8">
        <v>2015</v>
      </c>
      <c r="D187" s="8" t="s">
        <v>535</v>
      </c>
      <c r="E187" s="8" t="s">
        <v>536</v>
      </c>
      <c r="F187" s="8" t="s">
        <v>16</v>
      </c>
      <c r="G187" s="8" t="s">
        <v>63</v>
      </c>
      <c r="H187" s="8" t="s">
        <v>417</v>
      </c>
      <c r="I187" s="8" t="s">
        <v>19</v>
      </c>
      <c r="J187" s="8" t="s">
        <v>525</v>
      </c>
      <c r="K187" s="10" t="s">
        <v>21</v>
      </c>
      <c r="L187" s="10">
        <v>46325</v>
      </c>
      <c r="M187" s="10">
        <v>46205</v>
      </c>
      <c r="N187" s="13">
        <f t="shared" ref="N187:N192" si="34">L187-120</f>
        <v>46205</v>
      </c>
      <c r="O187" s="11" t="str">
        <f t="shared" ref="O187:O190" ca="1" si="35">IF(L187&gt;TODAY(),"Válida",IF(ISBLANK(L187),"Andamento",IF(L187&lt;TODAY(),"Vencida",IF(L187-TODAY()&lt;90,"URGENTE",IF(L187-TODAY()&lt;150,"RENOVAÇÃO",)))))</f>
        <v>Válida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34.5" customHeight="1" x14ac:dyDescent="0.25">
      <c r="A188" s="54">
        <v>7</v>
      </c>
      <c r="B188" s="55">
        <v>2787</v>
      </c>
      <c r="C188" s="8">
        <v>2013</v>
      </c>
      <c r="D188" s="8" t="s">
        <v>537</v>
      </c>
      <c r="E188" s="8" t="s">
        <v>538</v>
      </c>
      <c r="F188" s="8" t="s">
        <v>16</v>
      </c>
      <c r="G188" s="8" t="s">
        <v>63</v>
      </c>
      <c r="H188" s="8" t="s">
        <v>417</v>
      </c>
      <c r="I188" s="8" t="s">
        <v>19</v>
      </c>
      <c r="J188" s="8" t="s">
        <v>539</v>
      </c>
      <c r="K188" s="10" t="s">
        <v>21</v>
      </c>
      <c r="L188" s="10">
        <v>46163</v>
      </c>
      <c r="M188" s="10">
        <v>46043</v>
      </c>
      <c r="N188" s="13">
        <f t="shared" si="34"/>
        <v>46043</v>
      </c>
      <c r="O188" s="11" t="str">
        <f t="shared" ca="1" si="35"/>
        <v>Válida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34.5" customHeight="1" x14ac:dyDescent="0.25">
      <c r="A189" s="54">
        <v>8</v>
      </c>
      <c r="B189" s="56">
        <v>31</v>
      </c>
      <c r="C189" s="24">
        <v>2016</v>
      </c>
      <c r="D189" s="24" t="s">
        <v>540</v>
      </c>
      <c r="E189" s="23" t="s">
        <v>541</v>
      </c>
      <c r="F189" s="24" t="s">
        <v>280</v>
      </c>
      <c r="G189" s="24" t="s">
        <v>48</v>
      </c>
      <c r="H189" s="23" t="s">
        <v>417</v>
      </c>
      <c r="I189" s="24" t="s">
        <v>19</v>
      </c>
      <c r="J189" s="24" t="s">
        <v>520</v>
      </c>
      <c r="K189" s="40" t="s">
        <v>21</v>
      </c>
      <c r="L189" s="40">
        <v>45587</v>
      </c>
      <c r="M189" s="40">
        <v>45467</v>
      </c>
      <c r="N189" s="40">
        <f t="shared" si="34"/>
        <v>45467</v>
      </c>
      <c r="O189" s="26" t="str">
        <f t="shared" ca="1" si="35"/>
        <v>Vencida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34.5" customHeight="1" x14ac:dyDescent="0.25">
      <c r="A190" s="54">
        <v>9</v>
      </c>
      <c r="B190" s="55">
        <v>323</v>
      </c>
      <c r="C190" s="8">
        <v>2003</v>
      </c>
      <c r="D190" s="8" t="s">
        <v>542</v>
      </c>
      <c r="E190" s="8" t="s">
        <v>543</v>
      </c>
      <c r="F190" s="8" t="s">
        <v>16</v>
      </c>
      <c r="G190" s="8" t="s">
        <v>544</v>
      </c>
      <c r="H190" s="8" t="s">
        <v>417</v>
      </c>
      <c r="I190" s="8" t="s">
        <v>19</v>
      </c>
      <c r="J190" s="8" t="s">
        <v>545</v>
      </c>
      <c r="K190" s="10" t="s">
        <v>21</v>
      </c>
      <c r="L190" s="10">
        <v>45647</v>
      </c>
      <c r="M190" s="10">
        <v>45527</v>
      </c>
      <c r="N190" s="13">
        <f t="shared" si="34"/>
        <v>45527</v>
      </c>
      <c r="O190" s="11" t="str">
        <f t="shared" ca="1" si="35"/>
        <v>Vencida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34.5" customHeight="1" x14ac:dyDescent="0.25">
      <c r="A191" s="54">
        <v>10</v>
      </c>
      <c r="B191" s="55">
        <v>3823</v>
      </c>
      <c r="C191" s="8">
        <v>2017</v>
      </c>
      <c r="D191" s="8" t="s">
        <v>546</v>
      </c>
      <c r="E191" s="8" t="s">
        <v>70</v>
      </c>
      <c r="F191" s="8" t="s">
        <v>16</v>
      </c>
      <c r="G191" s="8" t="s">
        <v>71</v>
      </c>
      <c r="H191" s="8" t="s">
        <v>417</v>
      </c>
      <c r="I191" s="8" t="s">
        <v>19</v>
      </c>
      <c r="J191" s="8" t="s">
        <v>547</v>
      </c>
      <c r="K191" s="10" t="s">
        <v>21</v>
      </c>
      <c r="L191" s="10">
        <v>47965</v>
      </c>
      <c r="M191" s="10">
        <v>46478</v>
      </c>
      <c r="N191" s="13">
        <f t="shared" si="34"/>
        <v>47845</v>
      </c>
      <c r="O191" s="11" t="s">
        <v>30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34.5" customHeight="1" x14ac:dyDescent="0.25">
      <c r="A192" s="54">
        <v>11</v>
      </c>
      <c r="B192" s="55">
        <v>6702</v>
      </c>
      <c r="C192" s="8">
        <v>2022</v>
      </c>
      <c r="D192" s="8" t="s">
        <v>548</v>
      </c>
      <c r="E192" s="8" t="s">
        <v>549</v>
      </c>
      <c r="F192" s="8" t="s">
        <v>16</v>
      </c>
      <c r="G192" s="8" t="s">
        <v>258</v>
      </c>
      <c r="H192" s="8"/>
      <c r="I192" s="8" t="s">
        <v>19</v>
      </c>
      <c r="J192" s="8"/>
      <c r="K192" s="10" t="s">
        <v>21</v>
      </c>
      <c r="L192" s="10">
        <v>45216</v>
      </c>
      <c r="M192" s="10">
        <v>45096</v>
      </c>
      <c r="N192" s="13">
        <f t="shared" si="34"/>
        <v>45096</v>
      </c>
      <c r="O192" s="11" t="s">
        <v>550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34.5" customHeight="1" x14ac:dyDescent="0.25">
      <c r="A193" s="54">
        <v>11</v>
      </c>
      <c r="B193" s="55">
        <v>6697</v>
      </c>
      <c r="C193" s="8">
        <v>2022</v>
      </c>
      <c r="D193" s="8" t="s">
        <v>551</v>
      </c>
      <c r="E193" s="8" t="s">
        <v>552</v>
      </c>
      <c r="F193" s="8" t="s">
        <v>16</v>
      </c>
      <c r="G193" s="8" t="s">
        <v>258</v>
      </c>
      <c r="H193" s="8"/>
      <c r="I193" s="8" t="s">
        <v>49</v>
      </c>
      <c r="J193" s="8"/>
      <c r="K193" s="10" t="s">
        <v>21</v>
      </c>
      <c r="L193" s="10" t="s">
        <v>554</v>
      </c>
      <c r="M193" s="10" t="s">
        <v>90</v>
      </c>
      <c r="N193" s="13" t="s">
        <v>90</v>
      </c>
      <c r="O193" s="11" t="s">
        <v>30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34.5" customHeight="1" x14ac:dyDescent="0.25">
      <c r="A194" s="54">
        <v>11</v>
      </c>
      <c r="B194" s="55">
        <v>4369</v>
      </c>
      <c r="C194" s="8">
        <v>2018</v>
      </c>
      <c r="D194" s="8" t="s">
        <v>555</v>
      </c>
      <c r="E194" s="8" t="s">
        <v>549</v>
      </c>
      <c r="F194" s="8" t="s">
        <v>16</v>
      </c>
      <c r="G194" s="8" t="s">
        <v>123</v>
      </c>
      <c r="H194" s="8" t="s">
        <v>417</v>
      </c>
      <c r="I194" s="8" t="s">
        <v>19</v>
      </c>
      <c r="J194" s="8" t="s">
        <v>556</v>
      </c>
      <c r="K194" s="10" t="s">
        <v>21</v>
      </c>
      <c r="L194" s="10">
        <v>45930</v>
      </c>
      <c r="M194" s="10">
        <v>45810</v>
      </c>
      <c r="N194" s="13">
        <f t="shared" ref="N194:N199" si="36">L194-120</f>
        <v>45810</v>
      </c>
      <c r="O194" s="11" t="s">
        <v>30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34.5" customHeight="1" x14ac:dyDescent="0.25">
      <c r="A195" s="54">
        <v>11</v>
      </c>
      <c r="B195" s="55">
        <v>6612</v>
      </c>
      <c r="C195" s="8">
        <v>2022</v>
      </c>
      <c r="D195" s="8" t="s">
        <v>557</v>
      </c>
      <c r="E195" s="8" t="s">
        <v>549</v>
      </c>
      <c r="F195" s="8" t="s">
        <v>16</v>
      </c>
      <c r="G195" s="8" t="s">
        <v>558</v>
      </c>
      <c r="H195" s="8"/>
      <c r="I195" s="8" t="s">
        <v>19</v>
      </c>
      <c r="J195" s="8"/>
      <c r="K195" s="10" t="s">
        <v>21</v>
      </c>
      <c r="L195" s="10">
        <v>45190</v>
      </c>
      <c r="M195" s="10">
        <v>45070</v>
      </c>
      <c r="N195" s="13">
        <f t="shared" si="36"/>
        <v>45070</v>
      </c>
      <c r="O195" s="11" t="s">
        <v>550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34.5" customHeight="1" x14ac:dyDescent="0.25">
      <c r="A196" s="54">
        <v>11</v>
      </c>
      <c r="B196" s="55" t="s">
        <v>1788</v>
      </c>
      <c r="C196" s="8">
        <v>2025</v>
      </c>
      <c r="D196" s="8" t="s">
        <v>559</v>
      </c>
      <c r="E196" s="8" t="s">
        <v>1789</v>
      </c>
      <c r="F196" s="8" t="s">
        <v>16</v>
      </c>
      <c r="G196" s="8" t="s">
        <v>123</v>
      </c>
      <c r="H196" s="8"/>
      <c r="I196" s="8" t="s">
        <v>112</v>
      </c>
      <c r="J196" s="8"/>
      <c r="K196" s="10" t="s">
        <v>21</v>
      </c>
      <c r="L196" s="10">
        <v>47144</v>
      </c>
      <c r="M196" s="10">
        <v>46506</v>
      </c>
      <c r="N196" s="13">
        <f t="shared" si="36"/>
        <v>47024</v>
      </c>
      <c r="O196" s="11" t="s">
        <v>385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34.5" customHeight="1" x14ac:dyDescent="0.25">
      <c r="A197" s="54">
        <v>12</v>
      </c>
      <c r="B197" s="55">
        <v>5529</v>
      </c>
      <c r="C197" s="8">
        <v>2023</v>
      </c>
      <c r="D197" s="8" t="s">
        <v>561</v>
      </c>
      <c r="E197" s="8" t="s">
        <v>562</v>
      </c>
      <c r="F197" s="8" t="s">
        <v>104</v>
      </c>
      <c r="G197" s="8" t="s">
        <v>563</v>
      </c>
      <c r="H197" s="8"/>
      <c r="I197" s="8" t="s">
        <v>40</v>
      </c>
      <c r="J197" s="8"/>
      <c r="K197" s="10" t="s">
        <v>21</v>
      </c>
      <c r="L197" s="10">
        <v>46387</v>
      </c>
      <c r="M197" s="10">
        <v>45779</v>
      </c>
      <c r="N197" s="13">
        <f t="shared" si="36"/>
        <v>46267</v>
      </c>
      <c r="O197" s="11" t="s">
        <v>30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34.5" customHeight="1" x14ac:dyDescent="0.25">
      <c r="A198" s="54">
        <v>13</v>
      </c>
      <c r="B198" s="55" t="s">
        <v>564</v>
      </c>
      <c r="C198" s="8">
        <v>2024</v>
      </c>
      <c r="D198" s="8" t="s">
        <v>565</v>
      </c>
      <c r="E198" s="8" t="s">
        <v>541</v>
      </c>
      <c r="F198" s="8" t="s">
        <v>566</v>
      </c>
      <c r="G198" s="8" t="s">
        <v>48</v>
      </c>
      <c r="H198" s="8" t="s">
        <v>417</v>
      </c>
      <c r="I198" s="8" t="s">
        <v>19</v>
      </c>
      <c r="J198" s="8" t="s">
        <v>567</v>
      </c>
      <c r="K198" s="10" t="s">
        <v>21</v>
      </c>
      <c r="L198" s="10">
        <v>46179</v>
      </c>
      <c r="M198" s="10">
        <v>46059</v>
      </c>
      <c r="N198" s="13">
        <f t="shared" si="36"/>
        <v>46059</v>
      </c>
      <c r="O198" s="11" t="str">
        <f t="shared" ref="O198:O210" ca="1" si="37">IF(L198&gt;TODAY(),"Válida",IF(ISBLANK(L198),"Andamento",IF(L198&lt;TODAY(),"Vencida",IF(L198-TODAY()&lt;90,"URGENTE",IF(L198-TODAY()&lt;150,"RENOVAÇÃO",)))))</f>
        <v>Válida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34.5" customHeight="1" x14ac:dyDescent="0.25">
      <c r="A199" s="54">
        <v>13</v>
      </c>
      <c r="B199" s="55">
        <v>6657</v>
      </c>
      <c r="C199" s="8">
        <v>2024</v>
      </c>
      <c r="D199" s="8" t="s">
        <v>568</v>
      </c>
      <c r="E199" s="8" t="s">
        <v>541</v>
      </c>
      <c r="F199" s="8" t="s">
        <v>569</v>
      </c>
      <c r="G199" s="8" t="s">
        <v>48</v>
      </c>
      <c r="H199" s="8" t="s">
        <v>417</v>
      </c>
      <c r="I199" s="8" t="s">
        <v>19</v>
      </c>
      <c r="J199" s="8" t="s">
        <v>570</v>
      </c>
      <c r="K199" s="10" t="s">
        <v>21</v>
      </c>
      <c r="L199" s="10">
        <v>46598</v>
      </c>
      <c r="M199" s="10">
        <v>46233</v>
      </c>
      <c r="N199" s="13">
        <f t="shared" si="36"/>
        <v>46478</v>
      </c>
      <c r="O199" s="11" t="str">
        <f t="shared" ca="1" si="37"/>
        <v>Válida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34.5" customHeight="1" x14ac:dyDescent="0.25">
      <c r="A200" s="54">
        <v>14</v>
      </c>
      <c r="B200" s="55">
        <v>7103</v>
      </c>
      <c r="C200" s="8">
        <v>2023</v>
      </c>
      <c r="D200" s="8" t="s">
        <v>571</v>
      </c>
      <c r="E200" s="8" t="s">
        <v>572</v>
      </c>
      <c r="F200" s="8" t="s">
        <v>16</v>
      </c>
      <c r="G200" s="8" t="s">
        <v>17</v>
      </c>
      <c r="H200" s="8"/>
      <c r="I200" s="8" t="s">
        <v>49</v>
      </c>
      <c r="J200" s="8"/>
      <c r="K200" s="10" t="s">
        <v>21</v>
      </c>
      <c r="L200" s="10" t="s">
        <v>91</v>
      </c>
      <c r="M200" s="10" t="s">
        <v>91</v>
      </c>
      <c r="N200" s="10" t="s">
        <v>91</v>
      </c>
      <c r="O200" s="11" t="str">
        <f t="shared" ca="1" si="37"/>
        <v>Válida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34.5" customHeight="1" x14ac:dyDescent="0.25">
      <c r="A201" s="54">
        <v>14</v>
      </c>
      <c r="B201" s="55">
        <v>9017</v>
      </c>
      <c r="C201" s="8">
        <v>2024</v>
      </c>
      <c r="D201" s="8" t="s">
        <v>573</v>
      </c>
      <c r="E201" s="8" t="s">
        <v>574</v>
      </c>
      <c r="F201" s="8" t="s">
        <v>16</v>
      </c>
      <c r="G201" s="8" t="s">
        <v>48</v>
      </c>
      <c r="H201" s="8"/>
      <c r="I201" s="8" t="s">
        <v>49</v>
      </c>
      <c r="J201" s="8"/>
      <c r="K201" s="10" t="s">
        <v>21</v>
      </c>
      <c r="L201" s="10" t="s">
        <v>91</v>
      </c>
      <c r="M201" s="10" t="s">
        <v>91</v>
      </c>
      <c r="N201" s="10" t="s">
        <v>91</v>
      </c>
      <c r="O201" s="11" t="str">
        <f t="shared" ca="1" si="37"/>
        <v>Válida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34.5" customHeight="1" x14ac:dyDescent="0.25">
      <c r="A202" s="54">
        <v>15</v>
      </c>
      <c r="B202" s="55" t="s">
        <v>575</v>
      </c>
      <c r="C202" s="8">
        <v>2025</v>
      </c>
      <c r="D202" s="8" t="s">
        <v>576</v>
      </c>
      <c r="E202" s="8" t="s">
        <v>577</v>
      </c>
      <c r="F202" s="8" t="s">
        <v>16</v>
      </c>
      <c r="G202" s="8" t="s">
        <v>17</v>
      </c>
      <c r="H202" s="8" t="s">
        <v>417</v>
      </c>
      <c r="I202" s="8" t="s">
        <v>19</v>
      </c>
      <c r="J202" s="8" t="s">
        <v>520</v>
      </c>
      <c r="K202" s="10" t="s">
        <v>21</v>
      </c>
      <c r="L202" s="10">
        <v>46234</v>
      </c>
      <c r="M202" s="10">
        <v>46112</v>
      </c>
      <c r="N202" s="13">
        <v>46112</v>
      </c>
      <c r="O202" s="11" t="str">
        <f t="shared" ca="1" si="37"/>
        <v>Válida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34.5" customHeight="1" x14ac:dyDescent="0.25">
      <c r="A203" s="54">
        <v>16</v>
      </c>
      <c r="B203" s="55">
        <v>109</v>
      </c>
      <c r="C203" s="8">
        <v>2018</v>
      </c>
      <c r="D203" s="8" t="s">
        <v>578</v>
      </c>
      <c r="E203" s="8" t="s">
        <v>572</v>
      </c>
      <c r="F203" s="8" t="s">
        <v>212</v>
      </c>
      <c r="G203" s="8" t="s">
        <v>579</v>
      </c>
      <c r="H203" s="8" t="s">
        <v>417</v>
      </c>
      <c r="I203" s="8" t="s">
        <v>19</v>
      </c>
      <c r="J203" s="8" t="s">
        <v>520</v>
      </c>
      <c r="K203" s="10" t="s">
        <v>21</v>
      </c>
      <c r="L203" s="10">
        <v>44325</v>
      </c>
      <c r="M203" s="10">
        <v>44205</v>
      </c>
      <c r="N203" s="13">
        <f t="shared" ref="N203:N205" si="38">L203-120</f>
        <v>44205</v>
      </c>
      <c r="O203" s="11" t="str">
        <f t="shared" ca="1" si="37"/>
        <v>Vencida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34.5" customHeight="1" x14ac:dyDescent="0.25">
      <c r="A204" s="54">
        <v>16</v>
      </c>
      <c r="B204" s="55">
        <v>219</v>
      </c>
      <c r="C204" s="8">
        <v>2018</v>
      </c>
      <c r="D204" s="8" t="s">
        <v>580</v>
      </c>
      <c r="E204" s="8" t="s">
        <v>572</v>
      </c>
      <c r="F204" s="8" t="s">
        <v>212</v>
      </c>
      <c r="G204" s="8" t="s">
        <v>579</v>
      </c>
      <c r="H204" s="8" t="s">
        <v>417</v>
      </c>
      <c r="I204" s="8" t="s">
        <v>19</v>
      </c>
      <c r="J204" s="8" t="s">
        <v>520</v>
      </c>
      <c r="K204" s="10" t="s">
        <v>21</v>
      </c>
      <c r="L204" s="10">
        <v>43994</v>
      </c>
      <c r="M204" s="10">
        <v>43995</v>
      </c>
      <c r="N204" s="13">
        <f t="shared" si="38"/>
        <v>43874</v>
      </c>
      <c r="O204" s="11" t="str">
        <f t="shared" ca="1" si="37"/>
        <v>Vencida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34.5" customHeight="1" x14ac:dyDescent="0.25">
      <c r="A205" s="54">
        <v>17</v>
      </c>
      <c r="B205" s="55" t="s">
        <v>581</v>
      </c>
      <c r="C205" s="8">
        <v>2018</v>
      </c>
      <c r="D205" s="8" t="s">
        <v>582</v>
      </c>
      <c r="E205" s="8" t="s">
        <v>583</v>
      </c>
      <c r="F205" s="8" t="s">
        <v>16</v>
      </c>
      <c r="G205" s="8" t="s">
        <v>17</v>
      </c>
      <c r="H205" s="8" t="s">
        <v>417</v>
      </c>
      <c r="I205" s="8" t="s">
        <v>19</v>
      </c>
      <c r="J205" s="8" t="s">
        <v>520</v>
      </c>
      <c r="K205" s="10" t="s">
        <v>21</v>
      </c>
      <c r="L205" s="10">
        <v>47096</v>
      </c>
      <c r="M205" s="10">
        <v>46366</v>
      </c>
      <c r="N205" s="13">
        <f t="shared" si="38"/>
        <v>46976</v>
      </c>
      <c r="O205" s="11" t="str">
        <f t="shared" ca="1" si="37"/>
        <v>Válida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34.5" customHeight="1" x14ac:dyDescent="0.25">
      <c r="A206" s="54">
        <v>17</v>
      </c>
      <c r="B206" s="55">
        <v>202514000191</v>
      </c>
      <c r="C206" s="8">
        <v>2025</v>
      </c>
      <c r="D206" s="8" t="s">
        <v>584</v>
      </c>
      <c r="E206" s="8" t="s">
        <v>583</v>
      </c>
      <c r="F206" s="8" t="s">
        <v>367</v>
      </c>
      <c r="G206" s="8" t="s">
        <v>585</v>
      </c>
      <c r="H206" s="8"/>
      <c r="I206" s="8" t="s">
        <v>19</v>
      </c>
      <c r="J206" s="8"/>
      <c r="K206" s="10" t="s">
        <v>21</v>
      </c>
      <c r="L206" s="10">
        <v>46247</v>
      </c>
      <c r="M206" s="10">
        <v>46125</v>
      </c>
      <c r="N206" s="13">
        <v>46125</v>
      </c>
      <c r="O206" s="11" t="str">
        <f t="shared" ca="1" si="37"/>
        <v>Válida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34.5" customHeight="1" x14ac:dyDescent="0.25">
      <c r="A207" s="54">
        <v>18</v>
      </c>
      <c r="B207" s="55" t="s">
        <v>1767</v>
      </c>
      <c r="C207" s="8">
        <v>2003</v>
      </c>
      <c r="D207" s="8" t="s">
        <v>586</v>
      </c>
      <c r="E207" s="8" t="s">
        <v>587</v>
      </c>
      <c r="F207" s="8" t="s">
        <v>16</v>
      </c>
      <c r="G207" s="8" t="s">
        <v>17</v>
      </c>
      <c r="H207" s="8" t="s">
        <v>417</v>
      </c>
      <c r="I207" s="8" t="s">
        <v>19</v>
      </c>
      <c r="J207" s="8" t="s">
        <v>520</v>
      </c>
      <c r="K207" s="10" t="s">
        <v>21</v>
      </c>
      <c r="L207" s="10">
        <v>47138</v>
      </c>
      <c r="M207" s="10">
        <v>46407</v>
      </c>
      <c r="N207" s="13">
        <v>47381</v>
      </c>
      <c r="O207" s="11" t="str">
        <f t="shared" ca="1" si="37"/>
        <v>Válida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34.5" customHeight="1" x14ac:dyDescent="0.25">
      <c r="A208" s="54">
        <v>19</v>
      </c>
      <c r="B208" s="55" t="s">
        <v>588</v>
      </c>
      <c r="C208" s="8">
        <v>2020</v>
      </c>
      <c r="D208" s="8" t="s">
        <v>589</v>
      </c>
      <c r="E208" s="8" t="s">
        <v>577</v>
      </c>
      <c r="F208" s="8" t="s">
        <v>81</v>
      </c>
      <c r="G208" s="8" t="s">
        <v>82</v>
      </c>
      <c r="H208" s="8" t="s">
        <v>417</v>
      </c>
      <c r="I208" s="8" t="s">
        <v>19</v>
      </c>
      <c r="J208" s="8" t="s">
        <v>590</v>
      </c>
      <c r="K208" s="10" t="s">
        <v>21</v>
      </c>
      <c r="L208" s="10">
        <v>45129</v>
      </c>
      <c r="M208" s="10">
        <v>45009</v>
      </c>
      <c r="N208" s="13">
        <f t="shared" ref="N208:N211" si="39">L208-120</f>
        <v>45009</v>
      </c>
      <c r="O208" s="11" t="str">
        <f t="shared" ca="1" si="37"/>
        <v>Vencida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34.5" customHeight="1" x14ac:dyDescent="0.25">
      <c r="A209" s="54">
        <v>20</v>
      </c>
      <c r="B209" s="55">
        <v>1493</v>
      </c>
      <c r="C209" s="8">
        <v>2008</v>
      </c>
      <c r="D209" s="8" t="s">
        <v>591</v>
      </c>
      <c r="E209" s="8" t="s">
        <v>592</v>
      </c>
      <c r="F209" s="8" t="s">
        <v>16</v>
      </c>
      <c r="G209" s="8" t="s">
        <v>17</v>
      </c>
      <c r="H209" s="8" t="s">
        <v>417</v>
      </c>
      <c r="I209" s="8" t="s">
        <v>19</v>
      </c>
      <c r="J209" s="8" t="s">
        <v>418</v>
      </c>
      <c r="K209" s="10" t="s">
        <v>21</v>
      </c>
      <c r="L209" s="10">
        <v>47070</v>
      </c>
      <c r="M209" s="10">
        <v>46339</v>
      </c>
      <c r="N209" s="13">
        <f t="shared" si="39"/>
        <v>46950</v>
      </c>
      <c r="O209" s="11" t="str">
        <f t="shared" ca="1" si="37"/>
        <v>Válida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34.5" customHeight="1" x14ac:dyDescent="0.25">
      <c r="A210" s="54">
        <v>21</v>
      </c>
      <c r="B210" s="58">
        <v>151</v>
      </c>
      <c r="C210" s="15">
        <v>2022</v>
      </c>
      <c r="D210" s="15" t="s">
        <v>593</v>
      </c>
      <c r="E210" s="8" t="s">
        <v>594</v>
      </c>
      <c r="F210" s="8" t="s">
        <v>238</v>
      </c>
      <c r="G210" s="8" t="s">
        <v>595</v>
      </c>
      <c r="H210" s="9"/>
      <c r="I210" s="8" t="s">
        <v>19</v>
      </c>
      <c r="J210" s="15"/>
      <c r="K210" s="10" t="s">
        <v>21</v>
      </c>
      <c r="L210" s="14">
        <v>46442</v>
      </c>
      <c r="M210" s="10">
        <v>46077</v>
      </c>
      <c r="N210" s="10">
        <f t="shared" si="39"/>
        <v>46322</v>
      </c>
      <c r="O210" s="41" t="str">
        <f t="shared" ca="1" si="37"/>
        <v>Válida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34.5" customHeight="1" x14ac:dyDescent="0.25">
      <c r="A211" s="54">
        <v>22</v>
      </c>
      <c r="B211" s="55">
        <v>52447</v>
      </c>
      <c r="C211" s="8">
        <v>2023</v>
      </c>
      <c r="D211" s="8" t="s">
        <v>596</v>
      </c>
      <c r="E211" s="8" t="s">
        <v>597</v>
      </c>
      <c r="F211" s="8" t="s">
        <v>445</v>
      </c>
      <c r="G211" s="8" t="s">
        <v>67</v>
      </c>
      <c r="H211" s="8"/>
      <c r="I211" s="8" t="s">
        <v>19</v>
      </c>
      <c r="J211" s="8"/>
      <c r="K211" s="8" t="s">
        <v>262</v>
      </c>
      <c r="L211" s="10">
        <v>46649</v>
      </c>
      <c r="M211" s="10">
        <v>46266</v>
      </c>
      <c r="N211" s="13">
        <f t="shared" si="39"/>
        <v>46529</v>
      </c>
      <c r="O211" s="11" t="s">
        <v>30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34.5" customHeight="1" x14ac:dyDescent="0.25">
      <c r="A212" s="54">
        <v>22</v>
      </c>
      <c r="B212" s="55">
        <v>5</v>
      </c>
      <c r="C212" s="8">
        <v>2012</v>
      </c>
      <c r="D212" s="8" t="s">
        <v>598</v>
      </c>
      <c r="E212" s="8" t="s">
        <v>597</v>
      </c>
      <c r="F212" s="8" t="s">
        <v>445</v>
      </c>
      <c r="G212" s="8" t="s">
        <v>67</v>
      </c>
      <c r="H212" s="8"/>
      <c r="I212" s="8" t="s">
        <v>599</v>
      </c>
      <c r="J212" s="8"/>
      <c r="K212" s="8" t="s">
        <v>329</v>
      </c>
      <c r="L212" s="10">
        <v>48490</v>
      </c>
      <c r="M212" s="10">
        <v>48460</v>
      </c>
      <c r="N212" s="13">
        <v>48460</v>
      </c>
      <c r="O212" s="11" t="s">
        <v>30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34.5" customHeight="1" x14ac:dyDescent="0.25">
      <c r="A213" s="54">
        <v>23</v>
      </c>
      <c r="B213" s="55">
        <v>9151</v>
      </c>
      <c r="C213" s="8">
        <v>2022</v>
      </c>
      <c r="D213" s="8" t="s">
        <v>471</v>
      </c>
      <c r="E213" s="8" t="s">
        <v>472</v>
      </c>
      <c r="F213" s="8" t="s">
        <v>16</v>
      </c>
      <c r="G213" s="8" t="s">
        <v>473</v>
      </c>
      <c r="H213" s="8" t="s">
        <v>417</v>
      </c>
      <c r="I213" s="8" t="s">
        <v>19</v>
      </c>
      <c r="J213" s="8"/>
      <c r="K213" s="10" t="s">
        <v>262</v>
      </c>
      <c r="L213" s="10">
        <v>46145</v>
      </c>
      <c r="M213" s="10">
        <v>46025</v>
      </c>
      <c r="N213" s="13">
        <f t="shared" ref="N213:N217" si="40">L213-120</f>
        <v>46025</v>
      </c>
      <c r="O213" s="11" t="str">
        <f t="shared" ref="O213:O221" ca="1" si="41">IF(L213&gt;TODAY(),"Válida",IF(ISBLANK(L213),"Andamento",IF(L213&lt;TODAY(),"Vencida",IF(L213-TODAY()&lt;90,"URGENTE",IF(L213-TODAY()&lt;150,"RENOVAÇÃO",)))))</f>
        <v>Válida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34.5" customHeight="1" x14ac:dyDescent="0.25">
      <c r="A214" s="54">
        <v>24</v>
      </c>
      <c r="B214" s="55">
        <v>3704</v>
      </c>
      <c r="C214" s="8">
        <v>2016</v>
      </c>
      <c r="D214" s="8" t="s">
        <v>600</v>
      </c>
      <c r="E214" s="8" t="s">
        <v>601</v>
      </c>
      <c r="F214" s="8" t="s">
        <v>16</v>
      </c>
      <c r="G214" s="8" t="s">
        <v>123</v>
      </c>
      <c r="H214" s="8" t="s">
        <v>417</v>
      </c>
      <c r="I214" s="8" t="s">
        <v>19</v>
      </c>
      <c r="J214" s="8" t="s">
        <v>602</v>
      </c>
      <c r="K214" s="10" t="s">
        <v>21</v>
      </c>
      <c r="L214" s="10">
        <v>47915</v>
      </c>
      <c r="M214" s="10">
        <v>46454</v>
      </c>
      <c r="N214" s="13">
        <f t="shared" si="40"/>
        <v>47795</v>
      </c>
      <c r="O214" s="11" t="str">
        <f t="shared" ca="1" si="41"/>
        <v>Válida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34.5" customHeight="1" x14ac:dyDescent="0.25">
      <c r="A215" s="54">
        <v>25</v>
      </c>
      <c r="B215" s="55">
        <v>5455</v>
      </c>
      <c r="C215" s="8">
        <v>2020</v>
      </c>
      <c r="D215" s="8" t="s">
        <v>603</v>
      </c>
      <c r="E215" s="8" t="s">
        <v>604</v>
      </c>
      <c r="F215" s="8" t="s">
        <v>16</v>
      </c>
      <c r="G215" s="8" t="s">
        <v>432</v>
      </c>
      <c r="H215" s="8" t="s">
        <v>417</v>
      </c>
      <c r="I215" s="8" t="s">
        <v>19</v>
      </c>
      <c r="J215" s="8" t="s">
        <v>605</v>
      </c>
      <c r="K215" s="10" t="s">
        <v>21</v>
      </c>
      <c r="L215" s="10">
        <v>46051</v>
      </c>
      <c r="M215" s="10">
        <v>45931</v>
      </c>
      <c r="N215" s="13">
        <f t="shared" si="40"/>
        <v>45931</v>
      </c>
      <c r="O215" s="11" t="str">
        <f t="shared" ca="1" si="41"/>
        <v>Vencida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34.5" customHeight="1" x14ac:dyDescent="0.25">
      <c r="A216" s="54">
        <v>26</v>
      </c>
      <c r="B216" s="56">
        <v>5709</v>
      </c>
      <c r="C216" s="9">
        <v>2021</v>
      </c>
      <c r="D216" s="9" t="s">
        <v>606</v>
      </c>
      <c r="E216" s="9" t="s">
        <v>607</v>
      </c>
      <c r="F216" s="9" t="s">
        <v>16</v>
      </c>
      <c r="G216" s="9" t="s">
        <v>17</v>
      </c>
      <c r="H216" s="8" t="s">
        <v>417</v>
      </c>
      <c r="I216" s="9" t="s">
        <v>19</v>
      </c>
      <c r="J216" s="9" t="s">
        <v>608</v>
      </c>
      <c r="K216" s="9" t="s">
        <v>21</v>
      </c>
      <c r="L216" s="13">
        <v>45859</v>
      </c>
      <c r="M216" s="13">
        <v>45739</v>
      </c>
      <c r="N216" s="13">
        <f t="shared" si="40"/>
        <v>45739</v>
      </c>
      <c r="O216" s="11" t="str">
        <f t="shared" ca="1" si="41"/>
        <v>Vencida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34.5" customHeight="1" x14ac:dyDescent="0.25">
      <c r="A217" s="54">
        <v>27</v>
      </c>
      <c r="B217" s="56" t="s">
        <v>1807</v>
      </c>
      <c r="C217" s="21">
        <v>2008</v>
      </c>
      <c r="D217" s="9" t="s">
        <v>609</v>
      </c>
      <c r="E217" s="9" t="s">
        <v>1808</v>
      </c>
      <c r="F217" s="9" t="s">
        <v>16</v>
      </c>
      <c r="G217" s="9" t="s">
        <v>17</v>
      </c>
      <c r="H217" s="8" t="s">
        <v>417</v>
      </c>
      <c r="I217" s="9" t="s">
        <v>19</v>
      </c>
      <c r="J217" s="9" t="s">
        <v>517</v>
      </c>
      <c r="K217" s="9" t="s">
        <v>21</v>
      </c>
      <c r="L217" s="13">
        <v>47181</v>
      </c>
      <c r="M217" s="13">
        <v>46450</v>
      </c>
      <c r="N217" s="13">
        <f t="shared" si="40"/>
        <v>47061</v>
      </c>
      <c r="O217" s="11" t="str">
        <f t="shared" ca="1" si="41"/>
        <v>Válida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34.5" customHeight="1" x14ac:dyDescent="0.25">
      <c r="A218" s="54">
        <v>28</v>
      </c>
      <c r="B218" s="56" t="s">
        <v>1775</v>
      </c>
      <c r="C218" s="21">
        <v>2025</v>
      </c>
      <c r="D218" s="8" t="s">
        <v>611</v>
      </c>
      <c r="E218" s="8" t="s">
        <v>612</v>
      </c>
      <c r="F218" s="8" t="s">
        <v>402</v>
      </c>
      <c r="G218" s="8" t="s">
        <v>67</v>
      </c>
      <c r="H218" s="8"/>
      <c r="I218" s="9" t="s">
        <v>19</v>
      </c>
      <c r="J218" s="9"/>
      <c r="K218" s="13" t="s">
        <v>21</v>
      </c>
      <c r="L218" s="13">
        <v>46417</v>
      </c>
      <c r="M218" s="13">
        <v>46295</v>
      </c>
      <c r="N218" s="13">
        <v>46295</v>
      </c>
      <c r="O218" s="11" t="str">
        <f t="shared" ca="1" si="41"/>
        <v>Válida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34.5" customHeight="1" x14ac:dyDescent="0.25">
      <c r="A219" s="54">
        <v>29</v>
      </c>
      <c r="B219" s="56">
        <v>5706</v>
      </c>
      <c r="C219" s="9">
        <v>2021</v>
      </c>
      <c r="D219" s="9" t="s">
        <v>613</v>
      </c>
      <c r="E219" s="9" t="s">
        <v>614</v>
      </c>
      <c r="F219" s="9" t="s">
        <v>16</v>
      </c>
      <c r="G219" s="9" t="s">
        <v>615</v>
      </c>
      <c r="H219" s="8" t="s">
        <v>417</v>
      </c>
      <c r="I219" s="9" t="s">
        <v>19</v>
      </c>
      <c r="J219" s="9" t="s">
        <v>517</v>
      </c>
      <c r="K219" s="9" t="s">
        <v>21</v>
      </c>
      <c r="L219" s="10">
        <v>46269</v>
      </c>
      <c r="M219" s="10">
        <v>46149</v>
      </c>
      <c r="N219" s="13">
        <f t="shared" ref="N219:N238" si="42">L219-120</f>
        <v>46149</v>
      </c>
      <c r="O219" s="11" t="str">
        <f t="shared" ca="1" si="41"/>
        <v>Válida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34.5" customHeight="1" x14ac:dyDescent="0.25">
      <c r="A220" s="54">
        <v>30</v>
      </c>
      <c r="B220" s="56">
        <v>43222</v>
      </c>
      <c r="C220" s="9">
        <v>2022</v>
      </c>
      <c r="D220" s="9" t="s">
        <v>609</v>
      </c>
      <c r="E220" s="9" t="s">
        <v>610</v>
      </c>
      <c r="F220" s="9" t="s">
        <v>16</v>
      </c>
      <c r="G220" s="9" t="s">
        <v>17</v>
      </c>
      <c r="H220" s="8" t="s">
        <v>417</v>
      </c>
      <c r="I220" s="9" t="s">
        <v>19</v>
      </c>
      <c r="J220" s="9" t="s">
        <v>517</v>
      </c>
      <c r="K220" s="9" t="s">
        <v>262</v>
      </c>
      <c r="L220" s="13">
        <v>46493</v>
      </c>
      <c r="M220" s="13">
        <v>46113</v>
      </c>
      <c r="N220" s="13">
        <f t="shared" si="42"/>
        <v>46373</v>
      </c>
      <c r="O220" s="11" t="str">
        <f t="shared" ca="1" si="41"/>
        <v>Válida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34.5" customHeight="1" x14ac:dyDescent="0.25">
      <c r="A221" s="54">
        <v>31</v>
      </c>
      <c r="B221" s="56" t="s">
        <v>1790</v>
      </c>
      <c r="C221" s="201">
        <v>2022</v>
      </c>
      <c r="D221" s="202" t="s">
        <v>616</v>
      </c>
      <c r="E221" s="202" t="s">
        <v>610</v>
      </c>
      <c r="F221" s="201" t="s">
        <v>617</v>
      </c>
      <c r="G221" s="202" t="s">
        <v>67</v>
      </c>
      <c r="H221" s="187" t="s">
        <v>417</v>
      </c>
      <c r="I221" s="202" t="s">
        <v>19</v>
      </c>
      <c r="J221" s="202" t="s">
        <v>517</v>
      </c>
      <c r="K221" s="190" t="s">
        <v>618</v>
      </c>
      <c r="L221" s="190">
        <v>47171</v>
      </c>
      <c r="M221" s="190">
        <v>46440</v>
      </c>
      <c r="N221" s="190">
        <f t="shared" si="42"/>
        <v>47051</v>
      </c>
      <c r="O221" s="11" t="str">
        <f t="shared" ca="1" si="41"/>
        <v>Válida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34.5" customHeight="1" x14ac:dyDescent="0.25">
      <c r="A222" s="54">
        <v>31</v>
      </c>
      <c r="B222" s="56" t="s">
        <v>1804</v>
      </c>
      <c r="C222" s="9">
        <v>2022</v>
      </c>
      <c r="D222" s="60" t="s">
        <v>619</v>
      </c>
      <c r="E222" s="9" t="s">
        <v>620</v>
      </c>
      <c r="F222" s="21" t="s">
        <v>621</v>
      </c>
      <c r="G222" s="9" t="s">
        <v>622</v>
      </c>
      <c r="H222" s="8" t="s">
        <v>417</v>
      </c>
      <c r="I222" s="9" t="s">
        <v>19</v>
      </c>
      <c r="J222" s="9" t="s">
        <v>517</v>
      </c>
      <c r="K222" s="13" t="s">
        <v>618</v>
      </c>
      <c r="L222" s="13">
        <v>46304</v>
      </c>
      <c r="M222" s="13">
        <v>46184</v>
      </c>
      <c r="N222" s="13">
        <f t="shared" si="42"/>
        <v>46184</v>
      </c>
      <c r="O222" s="11" t="str">
        <f ca="1">IF(L222&gt;TODAY(),"Válida",IF(ISBLANK(L222),"Andamento",IF(L222&lt;TODAY(),"Vencida",IF(L222-TODAY()&lt;90,"URGENTE",IF(L222-TODAY()&lt;150,"RENOVAÇÃO",)))))</f>
        <v>Válida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34.5" customHeight="1" x14ac:dyDescent="0.25">
      <c r="A223" s="54">
        <v>31</v>
      </c>
      <c r="B223" s="56" t="s">
        <v>1791</v>
      </c>
      <c r="C223" s="9">
        <v>2022</v>
      </c>
      <c r="D223" s="9" t="s">
        <v>623</v>
      </c>
      <c r="E223" s="9" t="s">
        <v>624</v>
      </c>
      <c r="F223" s="21" t="s">
        <v>621</v>
      </c>
      <c r="G223" s="9" t="s">
        <v>48</v>
      </c>
      <c r="H223" s="8" t="s">
        <v>417</v>
      </c>
      <c r="I223" s="9" t="s">
        <v>19</v>
      </c>
      <c r="J223" s="9" t="s">
        <v>517</v>
      </c>
      <c r="K223" s="13" t="s">
        <v>618</v>
      </c>
      <c r="L223" s="13">
        <v>46205</v>
      </c>
      <c r="M223" s="13">
        <v>45748</v>
      </c>
      <c r="N223" s="13">
        <f t="shared" si="42"/>
        <v>46085</v>
      </c>
      <c r="O223" s="11" t="s">
        <v>30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34.5" customHeight="1" x14ac:dyDescent="0.25">
      <c r="A224" s="54">
        <v>31</v>
      </c>
      <c r="B224" s="56" t="s">
        <v>1805</v>
      </c>
      <c r="C224" s="9">
        <v>2024</v>
      </c>
      <c r="D224" s="9" t="s">
        <v>625</v>
      </c>
      <c r="E224" s="9" t="s">
        <v>626</v>
      </c>
      <c r="F224" s="9" t="s">
        <v>627</v>
      </c>
      <c r="G224" s="9" t="s">
        <v>48</v>
      </c>
      <c r="H224" s="9" t="s">
        <v>417</v>
      </c>
      <c r="I224" s="9" t="s">
        <v>19</v>
      </c>
      <c r="J224" s="9" t="s">
        <v>628</v>
      </c>
      <c r="K224" s="13" t="s">
        <v>618</v>
      </c>
      <c r="L224" s="13">
        <v>46709</v>
      </c>
      <c r="M224" s="13">
        <v>46344</v>
      </c>
      <c r="N224" s="13">
        <f t="shared" si="42"/>
        <v>46589</v>
      </c>
      <c r="O224" s="11" t="str">
        <f t="shared" ref="O224:O226" ca="1" si="43">IF(L224&gt;TODAY(),"Válida",IF(ISBLANK(L224),"Andamento",IF(L224&lt;TODAY(),"Vencida",IF(L224-TODAY()&lt;90,"URGENTE",IF(L224-TODAY()&lt;150,"RENOVAÇÃO",)))))</f>
        <v>Válida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34.5" customHeight="1" x14ac:dyDescent="0.25">
      <c r="A225" s="54">
        <v>32</v>
      </c>
      <c r="B225" s="56">
        <v>1519</v>
      </c>
      <c r="C225" s="21">
        <v>2008</v>
      </c>
      <c r="D225" s="9" t="s">
        <v>629</v>
      </c>
      <c r="E225" s="9" t="s">
        <v>630</v>
      </c>
      <c r="F225" s="9" t="s">
        <v>16</v>
      </c>
      <c r="G225" s="9" t="s">
        <v>631</v>
      </c>
      <c r="H225" s="8" t="s">
        <v>417</v>
      </c>
      <c r="I225" s="9" t="s">
        <v>19</v>
      </c>
      <c r="J225" s="9" t="s">
        <v>517</v>
      </c>
      <c r="K225" s="13" t="s">
        <v>21</v>
      </c>
      <c r="L225" s="13">
        <v>46220</v>
      </c>
      <c r="M225" s="13">
        <v>46100</v>
      </c>
      <c r="N225" s="13">
        <f t="shared" si="42"/>
        <v>46100</v>
      </c>
      <c r="O225" s="11" t="str">
        <f t="shared" ca="1" si="43"/>
        <v>Válida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34.5" customHeight="1" x14ac:dyDescent="0.25">
      <c r="A226" s="54">
        <v>33</v>
      </c>
      <c r="B226" s="55" t="s">
        <v>1834</v>
      </c>
      <c r="C226" s="8">
        <v>2024</v>
      </c>
      <c r="D226" s="8" t="s">
        <v>632</v>
      </c>
      <c r="E226" s="8" t="s">
        <v>633</v>
      </c>
      <c r="F226" s="8" t="s">
        <v>16</v>
      </c>
      <c r="G226" s="8" t="s">
        <v>17</v>
      </c>
      <c r="H226" s="8" t="s">
        <v>417</v>
      </c>
      <c r="I226" s="8" t="s">
        <v>19</v>
      </c>
      <c r="J226" s="8" t="s">
        <v>634</v>
      </c>
      <c r="K226" s="10" t="s">
        <v>21</v>
      </c>
      <c r="L226" s="10">
        <v>47924</v>
      </c>
      <c r="M226" s="10">
        <v>46463</v>
      </c>
      <c r="N226" s="13">
        <f t="shared" si="42"/>
        <v>47804</v>
      </c>
      <c r="O226" s="11" t="str">
        <f t="shared" ca="1" si="43"/>
        <v>Válida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34.5" customHeight="1" x14ac:dyDescent="0.25">
      <c r="A227" s="54">
        <v>33</v>
      </c>
      <c r="B227" s="55">
        <v>7327</v>
      </c>
      <c r="C227" s="8">
        <v>2023</v>
      </c>
      <c r="D227" s="8" t="s">
        <v>635</v>
      </c>
      <c r="E227" s="8" t="s">
        <v>636</v>
      </c>
      <c r="F227" s="8" t="s">
        <v>16</v>
      </c>
      <c r="G227" s="8" t="s">
        <v>17</v>
      </c>
      <c r="H227" s="8"/>
      <c r="I227" s="8" t="s">
        <v>19</v>
      </c>
      <c r="J227" s="8"/>
      <c r="K227" s="10" t="s">
        <v>21</v>
      </c>
      <c r="L227" s="10">
        <v>46274</v>
      </c>
      <c r="M227" s="10">
        <v>46154</v>
      </c>
      <c r="N227" s="13">
        <f t="shared" si="42"/>
        <v>46154</v>
      </c>
      <c r="O227" s="11" t="s">
        <v>30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34.5" customHeight="1" x14ac:dyDescent="0.25">
      <c r="A228" s="54">
        <v>34</v>
      </c>
      <c r="B228" s="55">
        <v>2465</v>
      </c>
      <c r="C228" s="23">
        <v>2012</v>
      </c>
      <c r="D228" s="23" t="s">
        <v>637</v>
      </c>
      <c r="E228" s="23" t="s">
        <v>638</v>
      </c>
      <c r="F228" s="23" t="s">
        <v>16</v>
      </c>
      <c r="G228" s="23" t="s">
        <v>639</v>
      </c>
      <c r="H228" s="23" t="s">
        <v>417</v>
      </c>
      <c r="I228" s="23" t="s">
        <v>19</v>
      </c>
      <c r="J228" s="23" t="s">
        <v>640</v>
      </c>
      <c r="K228" s="25" t="s">
        <v>21</v>
      </c>
      <c r="L228" s="25">
        <v>45721</v>
      </c>
      <c r="M228" s="25">
        <v>45601</v>
      </c>
      <c r="N228" s="40">
        <f t="shared" si="42"/>
        <v>45601</v>
      </c>
      <c r="O228" s="26" t="str">
        <f t="shared" ref="O228:O248" ca="1" si="44">IF(L228&gt;TODAY(),"Válida",IF(ISBLANK(L228),"Andamento",IF(L228&lt;TODAY(),"Vencida",IF(L228-TODAY()&lt;90,"URGENTE",IF(L228-TODAY()&lt;150,"RENOVAÇÃO",)))))</f>
        <v>Vencida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34.5" customHeight="1" x14ac:dyDescent="0.25">
      <c r="A229" s="54">
        <v>35</v>
      </c>
      <c r="B229" s="55">
        <v>1059</v>
      </c>
      <c r="C229" s="8">
        <v>2008</v>
      </c>
      <c r="D229" s="8" t="s">
        <v>641</v>
      </c>
      <c r="E229" s="8" t="s">
        <v>642</v>
      </c>
      <c r="F229" s="8" t="s">
        <v>16</v>
      </c>
      <c r="G229" s="8" t="s">
        <v>67</v>
      </c>
      <c r="H229" s="8" t="s">
        <v>417</v>
      </c>
      <c r="I229" s="8" t="s">
        <v>19</v>
      </c>
      <c r="J229" s="8" t="s">
        <v>643</v>
      </c>
      <c r="K229" s="10" t="s">
        <v>21</v>
      </c>
      <c r="L229" s="10">
        <v>47097</v>
      </c>
      <c r="M229" s="10">
        <v>46357</v>
      </c>
      <c r="N229" s="13">
        <f t="shared" si="42"/>
        <v>46977</v>
      </c>
      <c r="O229" s="11" t="str">
        <f t="shared" ca="1" si="44"/>
        <v>Válida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34.5" customHeight="1" x14ac:dyDescent="0.25">
      <c r="A230" s="54">
        <v>36</v>
      </c>
      <c r="B230" s="56" t="s">
        <v>644</v>
      </c>
      <c r="C230" s="9">
        <v>2025</v>
      </c>
      <c r="D230" s="9" t="s">
        <v>645</v>
      </c>
      <c r="E230" s="9" t="s">
        <v>646</v>
      </c>
      <c r="F230" s="9" t="s">
        <v>350</v>
      </c>
      <c r="G230" s="9" t="s">
        <v>142</v>
      </c>
      <c r="H230" s="8" t="s">
        <v>417</v>
      </c>
      <c r="I230" s="9" t="s">
        <v>112</v>
      </c>
      <c r="J230" s="8" t="s">
        <v>643</v>
      </c>
      <c r="K230" s="10" t="s">
        <v>21</v>
      </c>
      <c r="L230" s="13">
        <v>47181</v>
      </c>
      <c r="M230" s="13">
        <v>46450</v>
      </c>
      <c r="N230" s="13">
        <f t="shared" si="42"/>
        <v>47061</v>
      </c>
      <c r="O230" s="11" t="str">
        <f t="shared" ca="1" si="44"/>
        <v>Válida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34.5" customHeight="1" x14ac:dyDescent="0.25">
      <c r="A231" s="54">
        <v>37</v>
      </c>
      <c r="B231" s="55">
        <v>2394</v>
      </c>
      <c r="C231" s="8">
        <v>2012</v>
      </c>
      <c r="D231" s="8" t="s">
        <v>647</v>
      </c>
      <c r="E231" s="8" t="s">
        <v>648</v>
      </c>
      <c r="F231" s="8" t="s">
        <v>16</v>
      </c>
      <c r="G231" s="8" t="s">
        <v>227</v>
      </c>
      <c r="H231" s="8" t="s">
        <v>417</v>
      </c>
      <c r="I231" s="8" t="s">
        <v>19</v>
      </c>
      <c r="J231" s="8" t="s">
        <v>643</v>
      </c>
      <c r="K231" s="10" t="s">
        <v>21</v>
      </c>
      <c r="L231" s="10">
        <v>46253</v>
      </c>
      <c r="M231" s="10">
        <v>46133</v>
      </c>
      <c r="N231" s="13">
        <f t="shared" si="42"/>
        <v>46133</v>
      </c>
      <c r="O231" s="11" t="str">
        <f t="shared" ca="1" si="44"/>
        <v>Válida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34.5" customHeight="1" x14ac:dyDescent="0.25">
      <c r="A232" s="54">
        <v>38</v>
      </c>
      <c r="B232" s="55">
        <v>36459</v>
      </c>
      <c r="C232" s="21">
        <v>2022</v>
      </c>
      <c r="D232" s="8" t="s">
        <v>649</v>
      </c>
      <c r="E232" s="8" t="s">
        <v>650</v>
      </c>
      <c r="F232" s="8" t="s">
        <v>502</v>
      </c>
      <c r="G232" s="8" t="s">
        <v>432</v>
      </c>
      <c r="H232" s="8" t="s">
        <v>417</v>
      </c>
      <c r="I232" s="8" t="s">
        <v>19</v>
      </c>
      <c r="J232" s="8" t="s">
        <v>643</v>
      </c>
      <c r="K232" s="13" t="s">
        <v>262</v>
      </c>
      <c r="L232" s="10">
        <v>46396</v>
      </c>
      <c r="M232" s="10">
        <v>46276</v>
      </c>
      <c r="N232" s="13">
        <f t="shared" si="42"/>
        <v>46276</v>
      </c>
      <c r="O232" s="11" t="str">
        <f t="shared" ca="1" si="44"/>
        <v>Válida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34.5" customHeight="1" x14ac:dyDescent="0.25">
      <c r="A233" s="54">
        <v>38</v>
      </c>
      <c r="B233" s="55">
        <v>8</v>
      </c>
      <c r="C233" s="8">
        <v>2014</v>
      </c>
      <c r="D233" s="8" t="s">
        <v>649</v>
      </c>
      <c r="E233" s="8" t="s">
        <v>650</v>
      </c>
      <c r="F233" s="8" t="s">
        <v>502</v>
      </c>
      <c r="G233" s="8" t="s">
        <v>432</v>
      </c>
      <c r="H233" s="8" t="s">
        <v>417</v>
      </c>
      <c r="I233" s="8" t="s">
        <v>19</v>
      </c>
      <c r="J233" s="8" t="s">
        <v>643</v>
      </c>
      <c r="K233" s="13" t="s">
        <v>21</v>
      </c>
      <c r="L233" s="10">
        <v>46641</v>
      </c>
      <c r="M233" s="10">
        <v>46266</v>
      </c>
      <c r="N233" s="13">
        <f t="shared" si="42"/>
        <v>46521</v>
      </c>
      <c r="O233" s="11" t="str">
        <f t="shared" ca="1" si="44"/>
        <v>Válida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34.5" customHeight="1" x14ac:dyDescent="0.25">
      <c r="A234" s="54">
        <v>38</v>
      </c>
      <c r="B234" s="56">
        <v>3</v>
      </c>
      <c r="C234" s="21">
        <v>2019</v>
      </c>
      <c r="D234" s="9" t="s">
        <v>651</v>
      </c>
      <c r="E234" s="9" t="s">
        <v>652</v>
      </c>
      <c r="F234" s="8" t="s">
        <v>502</v>
      </c>
      <c r="G234" s="8" t="s">
        <v>432</v>
      </c>
      <c r="H234" s="8" t="s">
        <v>417</v>
      </c>
      <c r="I234" s="9" t="s">
        <v>19</v>
      </c>
      <c r="J234" s="9" t="s">
        <v>517</v>
      </c>
      <c r="K234" s="10" t="s">
        <v>21</v>
      </c>
      <c r="L234" s="13">
        <v>46641</v>
      </c>
      <c r="M234" s="33">
        <v>46266</v>
      </c>
      <c r="N234" s="13">
        <f t="shared" si="42"/>
        <v>46521</v>
      </c>
      <c r="O234" s="11" t="str">
        <f t="shared" ca="1" si="44"/>
        <v>Válida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34.5" customHeight="1" x14ac:dyDescent="0.25">
      <c r="A235" s="54">
        <v>38</v>
      </c>
      <c r="B235" s="56">
        <v>33</v>
      </c>
      <c r="C235" s="9">
        <v>2014</v>
      </c>
      <c r="D235" s="9" t="s">
        <v>653</v>
      </c>
      <c r="E235" s="9" t="s">
        <v>654</v>
      </c>
      <c r="F235" s="9" t="s">
        <v>502</v>
      </c>
      <c r="G235" s="9" t="s">
        <v>48</v>
      </c>
      <c r="H235" s="8" t="s">
        <v>417</v>
      </c>
      <c r="I235" s="9" t="s">
        <v>19</v>
      </c>
      <c r="J235" s="9" t="s">
        <v>655</v>
      </c>
      <c r="K235" s="10" t="s">
        <v>21</v>
      </c>
      <c r="L235" s="13">
        <v>46641</v>
      </c>
      <c r="M235" s="13">
        <v>46266</v>
      </c>
      <c r="N235" s="13">
        <f t="shared" si="42"/>
        <v>46521</v>
      </c>
      <c r="O235" s="11" t="str">
        <f t="shared" ca="1" si="44"/>
        <v>Válida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34.5" customHeight="1" x14ac:dyDescent="0.25">
      <c r="A236" s="54">
        <v>39</v>
      </c>
      <c r="B236" s="55" t="s">
        <v>656</v>
      </c>
      <c r="C236" s="23">
        <v>2020</v>
      </c>
      <c r="D236" s="23" t="s">
        <v>657</v>
      </c>
      <c r="E236" s="23" t="s">
        <v>658</v>
      </c>
      <c r="F236" s="23" t="s">
        <v>81</v>
      </c>
      <c r="G236" s="23" t="s">
        <v>659</v>
      </c>
      <c r="H236" s="23" t="s">
        <v>417</v>
      </c>
      <c r="I236" s="23" t="s">
        <v>19</v>
      </c>
      <c r="J236" s="23" t="s">
        <v>660</v>
      </c>
      <c r="K236" s="25" t="s">
        <v>21</v>
      </c>
      <c r="L236" s="25">
        <v>45120</v>
      </c>
      <c r="M236" s="25">
        <v>45000</v>
      </c>
      <c r="N236" s="40">
        <f t="shared" si="42"/>
        <v>45000</v>
      </c>
      <c r="O236" s="26" t="str">
        <f t="shared" ca="1" si="44"/>
        <v>Vencida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34.5" customHeight="1" x14ac:dyDescent="0.25">
      <c r="A237" s="54">
        <v>40</v>
      </c>
      <c r="B237" s="55">
        <v>1893</v>
      </c>
      <c r="C237" s="59">
        <v>2010</v>
      </c>
      <c r="D237" s="23" t="s">
        <v>661</v>
      </c>
      <c r="E237" s="23" t="s">
        <v>662</v>
      </c>
      <c r="F237" s="23" t="s">
        <v>16</v>
      </c>
      <c r="G237" s="23" t="s">
        <v>663</v>
      </c>
      <c r="H237" s="23" t="s">
        <v>417</v>
      </c>
      <c r="I237" s="23" t="s">
        <v>19</v>
      </c>
      <c r="J237" s="23" t="s">
        <v>517</v>
      </c>
      <c r="K237" s="25" t="s">
        <v>21</v>
      </c>
      <c r="L237" s="25">
        <v>45675</v>
      </c>
      <c r="M237" s="25">
        <v>45555</v>
      </c>
      <c r="N237" s="40">
        <f t="shared" si="42"/>
        <v>45555</v>
      </c>
      <c r="O237" s="26" t="str">
        <f t="shared" ca="1" si="44"/>
        <v>Vencida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34.5" customHeight="1" x14ac:dyDescent="0.25">
      <c r="A238" s="54">
        <v>41</v>
      </c>
      <c r="B238" s="55">
        <v>2512</v>
      </c>
      <c r="C238" s="59">
        <v>2013</v>
      </c>
      <c r="D238" s="23" t="s">
        <v>664</v>
      </c>
      <c r="E238" s="23" t="s">
        <v>665</v>
      </c>
      <c r="F238" s="23" t="s">
        <v>16</v>
      </c>
      <c r="G238" s="23" t="s">
        <v>666</v>
      </c>
      <c r="H238" s="23" t="s">
        <v>417</v>
      </c>
      <c r="I238" s="61" t="s">
        <v>19</v>
      </c>
      <c r="J238" s="23" t="s">
        <v>517</v>
      </c>
      <c r="K238" s="25" t="s">
        <v>21</v>
      </c>
      <c r="L238" s="25">
        <v>45380</v>
      </c>
      <c r="M238" s="25">
        <v>45260</v>
      </c>
      <c r="N238" s="40">
        <f t="shared" si="42"/>
        <v>45260</v>
      </c>
      <c r="O238" s="26" t="str">
        <f t="shared" ca="1" si="44"/>
        <v>Vencida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34.5" customHeight="1" x14ac:dyDescent="0.25">
      <c r="A239" s="54">
        <v>42</v>
      </c>
      <c r="B239" s="55" t="s">
        <v>667</v>
      </c>
      <c r="C239" s="8">
        <v>2025</v>
      </c>
      <c r="D239" s="8" t="s">
        <v>668</v>
      </c>
      <c r="E239" s="8" t="s">
        <v>669</v>
      </c>
      <c r="F239" s="8" t="s">
        <v>16</v>
      </c>
      <c r="G239" s="8" t="s">
        <v>58</v>
      </c>
      <c r="H239" s="8"/>
      <c r="I239" s="8" t="s">
        <v>19</v>
      </c>
      <c r="J239" s="8"/>
      <c r="K239" s="10" t="s">
        <v>21</v>
      </c>
      <c r="L239" s="10">
        <v>46204</v>
      </c>
      <c r="M239" s="10">
        <v>46082</v>
      </c>
      <c r="N239" s="13">
        <v>46082</v>
      </c>
      <c r="O239" s="11" t="str">
        <f t="shared" ca="1" si="44"/>
        <v>Válida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34.5" customHeight="1" x14ac:dyDescent="0.25">
      <c r="A240" s="54">
        <v>43</v>
      </c>
      <c r="B240" s="55">
        <v>2594</v>
      </c>
      <c r="C240" s="21">
        <v>2013</v>
      </c>
      <c r="D240" s="8" t="s">
        <v>670</v>
      </c>
      <c r="E240" s="8" t="s">
        <v>671</v>
      </c>
      <c r="F240" s="8" t="s">
        <v>16</v>
      </c>
      <c r="G240" s="8" t="s">
        <v>17</v>
      </c>
      <c r="H240" s="8" t="s">
        <v>417</v>
      </c>
      <c r="I240" s="8" t="s">
        <v>19</v>
      </c>
      <c r="J240" s="8" t="s">
        <v>418</v>
      </c>
      <c r="K240" s="10" t="s">
        <v>21</v>
      </c>
      <c r="L240" s="10">
        <v>46048</v>
      </c>
      <c r="M240" s="10">
        <v>45928</v>
      </c>
      <c r="N240" s="13">
        <f t="shared" ref="N240:N242" si="45">L240-120</f>
        <v>45928</v>
      </c>
      <c r="O240" s="11" t="str">
        <f t="shared" ca="1" si="44"/>
        <v>Vencida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34.5" customHeight="1" x14ac:dyDescent="0.25">
      <c r="A241" s="54">
        <v>43</v>
      </c>
      <c r="B241" s="55">
        <v>2669</v>
      </c>
      <c r="C241" s="8">
        <v>2013</v>
      </c>
      <c r="D241" s="8" t="s">
        <v>672</v>
      </c>
      <c r="E241" s="8" t="s">
        <v>671</v>
      </c>
      <c r="F241" s="8" t="s">
        <v>16</v>
      </c>
      <c r="G241" s="8" t="s">
        <v>227</v>
      </c>
      <c r="H241" s="8" t="s">
        <v>417</v>
      </c>
      <c r="I241" s="8" t="s">
        <v>19</v>
      </c>
      <c r="J241" s="8" t="s">
        <v>418</v>
      </c>
      <c r="K241" s="10" t="s">
        <v>21</v>
      </c>
      <c r="L241" s="10">
        <v>46279</v>
      </c>
      <c r="M241" s="10">
        <v>46159</v>
      </c>
      <c r="N241" s="13">
        <f t="shared" si="45"/>
        <v>46159</v>
      </c>
      <c r="O241" s="11" t="str">
        <f t="shared" ca="1" si="44"/>
        <v>Válida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34.5" customHeight="1" x14ac:dyDescent="0.25">
      <c r="A242" s="54">
        <v>44</v>
      </c>
      <c r="B242" s="55">
        <v>2564</v>
      </c>
      <c r="C242" s="8">
        <v>2013</v>
      </c>
      <c r="D242" s="8" t="s">
        <v>673</v>
      </c>
      <c r="E242" s="8" t="s">
        <v>674</v>
      </c>
      <c r="F242" s="8" t="s">
        <v>16</v>
      </c>
      <c r="G242" s="8" t="s">
        <v>17</v>
      </c>
      <c r="H242" s="8" t="s">
        <v>417</v>
      </c>
      <c r="I242" s="8" t="s">
        <v>19</v>
      </c>
      <c r="J242" s="8" t="s">
        <v>428</v>
      </c>
      <c r="K242" s="10" t="s">
        <v>21</v>
      </c>
      <c r="L242" s="10">
        <v>47126</v>
      </c>
      <c r="M242" s="10">
        <v>46395</v>
      </c>
      <c r="N242" s="13">
        <f t="shared" si="45"/>
        <v>47006</v>
      </c>
      <c r="O242" s="11" t="str">
        <f t="shared" ca="1" si="44"/>
        <v>Válida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34.5" customHeight="1" x14ac:dyDescent="0.25">
      <c r="A243" s="54">
        <v>44</v>
      </c>
      <c r="B243" s="55">
        <v>609</v>
      </c>
      <c r="C243" s="8">
        <v>2025</v>
      </c>
      <c r="D243" s="8" t="s">
        <v>675</v>
      </c>
      <c r="E243" s="8" t="s">
        <v>674</v>
      </c>
      <c r="F243" s="8" t="s">
        <v>212</v>
      </c>
      <c r="G243" s="8" t="s">
        <v>676</v>
      </c>
      <c r="H243" s="8"/>
      <c r="I243" s="8" t="s">
        <v>19</v>
      </c>
      <c r="J243" s="8"/>
      <c r="K243" s="10" t="s">
        <v>21</v>
      </c>
      <c r="L243" s="10">
        <v>46972</v>
      </c>
      <c r="M243" s="10">
        <v>46241</v>
      </c>
      <c r="N243" s="13">
        <v>46850</v>
      </c>
      <c r="O243" s="11" t="str">
        <f t="shared" ca="1" si="44"/>
        <v>Válida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34.5" customHeight="1" x14ac:dyDescent="0.25">
      <c r="A244" s="54">
        <v>44</v>
      </c>
      <c r="B244" s="55" t="s">
        <v>677</v>
      </c>
      <c r="C244" s="23">
        <v>2020</v>
      </c>
      <c r="D244" s="23" t="s">
        <v>678</v>
      </c>
      <c r="E244" s="23" t="s">
        <v>674</v>
      </c>
      <c r="F244" s="23" t="s">
        <v>81</v>
      </c>
      <c r="G244" s="23" t="s">
        <v>82</v>
      </c>
      <c r="H244" s="23" t="s">
        <v>417</v>
      </c>
      <c r="I244" s="23" t="s">
        <v>19</v>
      </c>
      <c r="J244" s="23" t="s">
        <v>660</v>
      </c>
      <c r="K244" s="25" t="s">
        <v>21</v>
      </c>
      <c r="L244" s="25">
        <v>45109</v>
      </c>
      <c r="M244" s="25">
        <v>44989</v>
      </c>
      <c r="N244" s="40">
        <f t="shared" ref="N244:N251" si="46">L244-120</f>
        <v>44989</v>
      </c>
      <c r="O244" s="26" t="str">
        <f t="shared" ca="1" si="44"/>
        <v>Vencida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34.5" customHeight="1" x14ac:dyDescent="0.25">
      <c r="A245" s="54">
        <v>45</v>
      </c>
      <c r="B245" s="55">
        <v>79</v>
      </c>
      <c r="C245" s="8">
        <v>2025</v>
      </c>
      <c r="D245" s="8" t="s">
        <v>679</v>
      </c>
      <c r="E245" s="8" t="s">
        <v>680</v>
      </c>
      <c r="F245" s="8" t="s">
        <v>681</v>
      </c>
      <c r="G245" s="8" t="s">
        <v>432</v>
      </c>
      <c r="H245" s="8" t="s">
        <v>417</v>
      </c>
      <c r="I245" s="8" t="s">
        <v>19</v>
      </c>
      <c r="J245" s="8" t="s">
        <v>682</v>
      </c>
      <c r="K245" s="10" t="s">
        <v>21</v>
      </c>
      <c r="L245" s="10">
        <v>46418</v>
      </c>
      <c r="M245" s="10">
        <v>46298</v>
      </c>
      <c r="N245" s="13">
        <f t="shared" si="46"/>
        <v>46298</v>
      </c>
      <c r="O245" s="11" t="str">
        <f t="shared" ca="1" si="44"/>
        <v>Válida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34.5" customHeight="1" x14ac:dyDescent="0.25">
      <c r="A246" s="54">
        <v>45</v>
      </c>
      <c r="B246" s="55">
        <v>4</v>
      </c>
      <c r="C246" s="8">
        <v>2024</v>
      </c>
      <c r="D246" s="8" t="s">
        <v>683</v>
      </c>
      <c r="E246" s="8" t="s">
        <v>684</v>
      </c>
      <c r="F246" s="8" t="s">
        <v>681</v>
      </c>
      <c r="G246" s="8" t="s">
        <v>432</v>
      </c>
      <c r="H246" s="8"/>
      <c r="I246" s="8" t="s">
        <v>19</v>
      </c>
      <c r="J246" s="8"/>
      <c r="K246" s="10" t="s">
        <v>21</v>
      </c>
      <c r="L246" s="10">
        <v>45676</v>
      </c>
      <c r="M246" s="10">
        <v>45556</v>
      </c>
      <c r="N246" s="13">
        <f t="shared" si="46"/>
        <v>45556</v>
      </c>
      <c r="O246" s="11" t="str">
        <f t="shared" ca="1" si="44"/>
        <v>Vencida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34.5" customHeight="1" x14ac:dyDescent="0.25">
      <c r="A247" s="54">
        <v>46</v>
      </c>
      <c r="B247" s="55">
        <v>679</v>
      </c>
      <c r="C247" s="8">
        <v>2022</v>
      </c>
      <c r="D247" s="8" t="s">
        <v>685</v>
      </c>
      <c r="E247" s="8" t="s">
        <v>572</v>
      </c>
      <c r="F247" s="8" t="s">
        <v>686</v>
      </c>
      <c r="G247" s="8" t="s">
        <v>687</v>
      </c>
      <c r="H247" s="8"/>
      <c r="I247" s="8" t="s">
        <v>19</v>
      </c>
      <c r="J247" s="8"/>
      <c r="K247" s="10" t="s">
        <v>21</v>
      </c>
      <c r="L247" s="10">
        <v>46713</v>
      </c>
      <c r="M247" s="10">
        <v>45597</v>
      </c>
      <c r="N247" s="13">
        <f t="shared" si="46"/>
        <v>46593</v>
      </c>
      <c r="O247" s="11" t="str">
        <f t="shared" ca="1" si="44"/>
        <v>Válida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34.5" customHeight="1" x14ac:dyDescent="0.25">
      <c r="A248" s="54">
        <v>47</v>
      </c>
      <c r="B248" s="55" t="s">
        <v>688</v>
      </c>
      <c r="C248" s="21">
        <v>2020</v>
      </c>
      <c r="D248" s="8" t="s">
        <v>689</v>
      </c>
      <c r="E248" s="8" t="s">
        <v>541</v>
      </c>
      <c r="F248" s="8" t="s">
        <v>81</v>
      </c>
      <c r="G248" s="8" t="s">
        <v>58</v>
      </c>
      <c r="H248" s="8" t="s">
        <v>417</v>
      </c>
      <c r="I248" s="8" t="s">
        <v>19</v>
      </c>
      <c r="J248" s="8" t="s">
        <v>660</v>
      </c>
      <c r="K248" s="10" t="s">
        <v>21</v>
      </c>
      <c r="L248" s="10">
        <v>45091</v>
      </c>
      <c r="M248" s="33">
        <v>44971</v>
      </c>
      <c r="N248" s="13">
        <f t="shared" si="46"/>
        <v>44971</v>
      </c>
      <c r="O248" s="11" t="str">
        <f t="shared" ca="1" si="44"/>
        <v>Vencida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34.5" customHeight="1" x14ac:dyDescent="0.25">
      <c r="A249" s="54">
        <v>48</v>
      </c>
      <c r="B249" s="56">
        <v>2578</v>
      </c>
      <c r="C249" s="9">
        <v>2013</v>
      </c>
      <c r="D249" s="9" t="s">
        <v>690</v>
      </c>
      <c r="E249" s="9" t="s">
        <v>691</v>
      </c>
      <c r="F249" s="9" t="s">
        <v>16</v>
      </c>
      <c r="G249" s="9" t="s">
        <v>659</v>
      </c>
      <c r="H249" s="8" t="s">
        <v>417</v>
      </c>
      <c r="I249" s="8" t="s">
        <v>19</v>
      </c>
      <c r="J249" s="9" t="s">
        <v>692</v>
      </c>
      <c r="K249" s="10" t="s">
        <v>21</v>
      </c>
      <c r="L249" s="13">
        <v>45391</v>
      </c>
      <c r="M249" s="13">
        <v>45271</v>
      </c>
      <c r="N249" s="13">
        <f t="shared" si="46"/>
        <v>45271</v>
      </c>
      <c r="O249" s="11" t="s">
        <v>246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34.5" customHeight="1" x14ac:dyDescent="0.25">
      <c r="A250" s="54">
        <v>49</v>
      </c>
      <c r="B250" s="55" t="s">
        <v>693</v>
      </c>
      <c r="C250" s="8">
        <v>2025</v>
      </c>
      <c r="D250" s="8" t="s">
        <v>694</v>
      </c>
      <c r="E250" s="8" t="s">
        <v>695</v>
      </c>
      <c r="F250" s="8" t="s">
        <v>696</v>
      </c>
      <c r="G250" s="8" t="s">
        <v>697</v>
      </c>
      <c r="H250" s="8" t="s">
        <v>417</v>
      </c>
      <c r="I250" s="8" t="s">
        <v>19</v>
      </c>
      <c r="J250" s="8" t="s">
        <v>698</v>
      </c>
      <c r="K250" s="10" t="s">
        <v>699</v>
      </c>
      <c r="L250" s="10">
        <v>47384</v>
      </c>
      <c r="M250" s="10">
        <v>46288</v>
      </c>
      <c r="N250" s="13">
        <f t="shared" si="46"/>
        <v>47264</v>
      </c>
      <c r="O250" s="11" t="str">
        <f t="shared" ref="O250:O251" ca="1" si="47">IF(L250&gt;TODAY(),"Válida",IF(ISBLANK(L250),"Andamento",IF(L250&lt;TODAY(),"Vencida",IF(L250-TODAY()&lt;90,"URGENTE",IF(L250-TODAY()&lt;150,"RENOVAÇÃO",)))))</f>
        <v>Válida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34.5" customHeight="1" x14ac:dyDescent="0.25">
      <c r="A251" s="54">
        <v>49</v>
      </c>
      <c r="B251" s="55" t="s">
        <v>700</v>
      </c>
      <c r="C251" s="8">
        <v>2025</v>
      </c>
      <c r="D251" s="8" t="s">
        <v>694</v>
      </c>
      <c r="E251" s="8" t="s">
        <v>701</v>
      </c>
      <c r="F251" s="8" t="s">
        <v>696</v>
      </c>
      <c r="G251" s="8" t="s">
        <v>697</v>
      </c>
      <c r="H251" s="8"/>
      <c r="I251" s="8" t="s">
        <v>19</v>
      </c>
      <c r="J251" s="8"/>
      <c r="K251" s="10" t="s">
        <v>702</v>
      </c>
      <c r="L251" s="10">
        <v>46618</v>
      </c>
      <c r="M251" s="10">
        <v>46133</v>
      </c>
      <c r="N251" s="13">
        <f t="shared" si="46"/>
        <v>46498</v>
      </c>
      <c r="O251" s="11" t="str">
        <f t="shared" ca="1" si="47"/>
        <v>Válida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34.5" customHeight="1" x14ac:dyDescent="0.25">
      <c r="A252" s="54">
        <v>49</v>
      </c>
      <c r="B252" s="55">
        <v>145695</v>
      </c>
      <c r="C252" s="8">
        <v>2023</v>
      </c>
      <c r="D252" s="8" t="s">
        <v>703</v>
      </c>
      <c r="E252" s="8" t="s">
        <v>704</v>
      </c>
      <c r="F252" s="8" t="s">
        <v>253</v>
      </c>
      <c r="G252" s="8" t="s">
        <v>32</v>
      </c>
      <c r="H252" s="8"/>
      <c r="I252" s="8" t="s">
        <v>19</v>
      </c>
      <c r="J252" s="8"/>
      <c r="K252" s="10" t="s">
        <v>699</v>
      </c>
      <c r="L252" s="10">
        <v>46669</v>
      </c>
      <c r="M252" s="10">
        <v>45756</v>
      </c>
      <c r="N252" s="13">
        <v>46547</v>
      </c>
      <c r="O252" s="11" t="s">
        <v>30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34.5" customHeight="1" x14ac:dyDescent="0.25">
      <c r="A253" s="54">
        <v>50</v>
      </c>
      <c r="B253" s="55">
        <v>31609</v>
      </c>
      <c r="C253" s="8">
        <v>2022</v>
      </c>
      <c r="D253" s="8" t="s">
        <v>705</v>
      </c>
      <c r="E253" s="8" t="s">
        <v>706</v>
      </c>
      <c r="F253" s="8" t="s">
        <v>16</v>
      </c>
      <c r="G253" s="8" t="s">
        <v>707</v>
      </c>
      <c r="H253" s="8"/>
      <c r="I253" s="8" t="s">
        <v>19</v>
      </c>
      <c r="J253" s="8"/>
      <c r="K253" s="10" t="s">
        <v>262</v>
      </c>
      <c r="L253" s="10">
        <v>46446</v>
      </c>
      <c r="M253" s="10">
        <v>45689</v>
      </c>
      <c r="N253" s="13">
        <f t="shared" ref="N253:N255" si="48">L253-120</f>
        <v>46326</v>
      </c>
      <c r="O253" s="11" t="str">
        <f t="shared" ref="O253:O260" ca="1" si="49">IF(L253&gt;TODAY(),"Válida",IF(ISBLANK(L253),"Andamento",IF(L253&lt;TODAY(),"Vencida",IF(L253-TODAY()&lt;90,"URGENTE",IF(L253-TODAY()&lt;150,"RENOVAÇÃO",)))))</f>
        <v>Válida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34.5" customHeight="1" x14ac:dyDescent="0.25">
      <c r="A254" s="54">
        <v>50</v>
      </c>
      <c r="B254" s="55">
        <v>3102</v>
      </c>
      <c r="C254" s="8">
        <v>2014</v>
      </c>
      <c r="D254" s="8" t="s">
        <v>708</v>
      </c>
      <c r="E254" s="8" t="s">
        <v>709</v>
      </c>
      <c r="F254" s="8" t="s">
        <v>16</v>
      </c>
      <c r="G254" s="8" t="s">
        <v>707</v>
      </c>
      <c r="H254" s="8" t="s">
        <v>417</v>
      </c>
      <c r="I254" s="8" t="s">
        <v>19</v>
      </c>
      <c r="J254" s="8" t="s">
        <v>710</v>
      </c>
      <c r="K254" s="10" t="s">
        <v>21</v>
      </c>
      <c r="L254" s="10">
        <v>46704</v>
      </c>
      <c r="M254" s="10">
        <v>46339</v>
      </c>
      <c r="N254" s="13">
        <f t="shared" si="48"/>
        <v>46584</v>
      </c>
      <c r="O254" s="11" t="str">
        <f t="shared" ca="1" si="49"/>
        <v>Válida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34.5" customHeight="1" x14ac:dyDescent="0.25">
      <c r="A255" s="54">
        <v>51</v>
      </c>
      <c r="B255" s="55">
        <v>3813</v>
      </c>
      <c r="C255" s="8">
        <v>2017</v>
      </c>
      <c r="D255" s="8" t="s">
        <v>711</v>
      </c>
      <c r="E255" s="8" t="s">
        <v>712</v>
      </c>
      <c r="F255" s="15" t="s">
        <v>16</v>
      </c>
      <c r="G255" s="8" t="s">
        <v>17</v>
      </c>
      <c r="H255" s="8" t="s">
        <v>417</v>
      </c>
      <c r="I255" s="8" t="s">
        <v>19</v>
      </c>
      <c r="J255" s="8" t="s">
        <v>517</v>
      </c>
      <c r="K255" s="10" t="s">
        <v>21</v>
      </c>
      <c r="L255" s="10">
        <v>45974</v>
      </c>
      <c r="M255" s="10">
        <v>45854</v>
      </c>
      <c r="N255" s="13">
        <f t="shared" si="48"/>
        <v>45854</v>
      </c>
      <c r="O255" s="11" t="str">
        <f t="shared" ca="1" si="49"/>
        <v>Vencida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34.5" customHeight="1" x14ac:dyDescent="0.25">
      <c r="A256" s="54">
        <v>52</v>
      </c>
      <c r="B256" s="56">
        <v>6493</v>
      </c>
      <c r="C256" s="9">
        <v>2022</v>
      </c>
      <c r="D256" s="9" t="s">
        <v>713</v>
      </c>
      <c r="E256" s="9" t="s">
        <v>714</v>
      </c>
      <c r="F256" s="9" t="s">
        <v>16</v>
      </c>
      <c r="G256" s="9" t="s">
        <v>17</v>
      </c>
      <c r="H256" s="9"/>
      <c r="I256" s="9" t="s">
        <v>49</v>
      </c>
      <c r="J256" s="9"/>
      <c r="K256" s="13" t="s">
        <v>21</v>
      </c>
      <c r="L256" s="13" t="s">
        <v>90</v>
      </c>
      <c r="M256" s="10" t="s">
        <v>90</v>
      </c>
      <c r="N256" s="10" t="s">
        <v>90</v>
      </c>
      <c r="O256" s="11" t="str">
        <f t="shared" ca="1" si="49"/>
        <v>Válida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34.5" customHeight="1" x14ac:dyDescent="0.25">
      <c r="A257" s="54">
        <v>52</v>
      </c>
      <c r="B257" s="56">
        <v>6495</v>
      </c>
      <c r="C257" s="9">
        <v>2022</v>
      </c>
      <c r="D257" s="9" t="s">
        <v>715</v>
      </c>
      <c r="E257" s="9" t="s">
        <v>716</v>
      </c>
      <c r="F257" s="9" t="s">
        <v>16</v>
      </c>
      <c r="G257" s="9" t="s">
        <v>17</v>
      </c>
      <c r="H257" s="9"/>
      <c r="I257" s="9" t="s">
        <v>49</v>
      </c>
      <c r="J257" s="9"/>
      <c r="K257" s="13" t="s">
        <v>21</v>
      </c>
      <c r="L257" s="13" t="s">
        <v>90</v>
      </c>
      <c r="M257" s="10" t="s">
        <v>90</v>
      </c>
      <c r="N257" s="10" t="s">
        <v>90</v>
      </c>
      <c r="O257" s="11" t="str">
        <f t="shared" ca="1" si="49"/>
        <v>Válida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34.5" customHeight="1" x14ac:dyDescent="0.25">
      <c r="A258" s="54">
        <v>52</v>
      </c>
      <c r="B258" s="56" t="s">
        <v>717</v>
      </c>
      <c r="C258" s="9">
        <v>2022</v>
      </c>
      <c r="D258" s="8" t="s">
        <v>718</v>
      </c>
      <c r="E258" s="9" t="s">
        <v>716</v>
      </c>
      <c r="F258" s="9" t="s">
        <v>81</v>
      </c>
      <c r="G258" s="9" t="s">
        <v>82</v>
      </c>
      <c r="H258" s="8" t="s">
        <v>417</v>
      </c>
      <c r="I258" s="9" t="s">
        <v>19</v>
      </c>
      <c r="J258" s="9" t="s">
        <v>520</v>
      </c>
      <c r="K258" s="13" t="s">
        <v>21</v>
      </c>
      <c r="L258" s="13">
        <v>45806</v>
      </c>
      <c r="M258" s="13">
        <v>45686</v>
      </c>
      <c r="N258" s="13">
        <f>L258-120</f>
        <v>45686</v>
      </c>
      <c r="O258" s="11" t="str">
        <f t="shared" ca="1" si="49"/>
        <v>Vencida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34.5" customHeight="1" x14ac:dyDescent="0.25">
      <c r="A259" s="54">
        <v>52</v>
      </c>
      <c r="B259" s="55">
        <v>6868</v>
      </c>
      <c r="C259" s="8">
        <v>2022</v>
      </c>
      <c r="D259" s="8" t="s">
        <v>719</v>
      </c>
      <c r="E259" s="8" t="s">
        <v>720</v>
      </c>
      <c r="F259" s="8" t="s">
        <v>16</v>
      </c>
      <c r="G259" s="8" t="s">
        <v>17</v>
      </c>
      <c r="H259" s="8"/>
      <c r="I259" s="8" t="s">
        <v>553</v>
      </c>
      <c r="J259" s="8"/>
      <c r="K259" s="10" t="s">
        <v>21</v>
      </c>
      <c r="L259" s="10" t="s">
        <v>91</v>
      </c>
      <c r="M259" s="10" t="s">
        <v>90</v>
      </c>
      <c r="N259" s="10" t="s">
        <v>91</v>
      </c>
      <c r="O259" s="11" t="str">
        <f t="shared" ca="1" si="49"/>
        <v>Válida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34.5" customHeight="1" x14ac:dyDescent="0.25">
      <c r="A260" s="54">
        <v>52</v>
      </c>
      <c r="B260" s="56">
        <v>6789</v>
      </c>
      <c r="C260" s="9">
        <v>2022</v>
      </c>
      <c r="D260" s="8" t="s">
        <v>721</v>
      </c>
      <c r="E260" s="9" t="s">
        <v>722</v>
      </c>
      <c r="F260" s="9" t="s">
        <v>16</v>
      </c>
      <c r="G260" s="9" t="s">
        <v>17</v>
      </c>
      <c r="H260" s="8"/>
      <c r="I260" s="9" t="s">
        <v>553</v>
      </c>
      <c r="J260" s="9"/>
      <c r="K260" s="13" t="s">
        <v>21</v>
      </c>
      <c r="L260" s="10" t="s">
        <v>91</v>
      </c>
      <c r="M260" s="10" t="s">
        <v>90</v>
      </c>
      <c r="N260" s="10" t="s">
        <v>91</v>
      </c>
      <c r="O260" s="11" t="str">
        <f t="shared" ca="1" si="49"/>
        <v>Válida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34.5" customHeight="1" x14ac:dyDescent="0.25">
      <c r="A261" s="54">
        <v>53</v>
      </c>
      <c r="B261" s="55">
        <v>899</v>
      </c>
      <c r="C261" s="8">
        <v>2008</v>
      </c>
      <c r="D261" s="8" t="s">
        <v>723</v>
      </c>
      <c r="E261" s="8" t="s">
        <v>724</v>
      </c>
      <c r="F261" s="8" t="s">
        <v>16</v>
      </c>
      <c r="G261" s="8" t="s">
        <v>17</v>
      </c>
      <c r="H261" s="8" t="s">
        <v>417</v>
      </c>
      <c r="I261" s="8" t="s">
        <v>19</v>
      </c>
      <c r="J261" s="8" t="s">
        <v>725</v>
      </c>
      <c r="K261" s="10" t="s">
        <v>21</v>
      </c>
      <c r="L261" s="10">
        <v>45987</v>
      </c>
      <c r="M261" s="10">
        <v>45867</v>
      </c>
      <c r="N261" s="13">
        <f t="shared" ref="N261:N272" si="50">L261-120</f>
        <v>45867</v>
      </c>
      <c r="O261" s="11" t="s">
        <v>385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34.5" customHeight="1" x14ac:dyDescent="0.25">
      <c r="A262" s="54">
        <v>54</v>
      </c>
      <c r="B262" s="55">
        <v>5510</v>
      </c>
      <c r="C262" s="23">
        <v>2020</v>
      </c>
      <c r="D262" s="23" t="s">
        <v>726</v>
      </c>
      <c r="E262" s="23" t="s">
        <v>727</v>
      </c>
      <c r="F262" s="23" t="s">
        <v>16</v>
      </c>
      <c r="G262" s="23" t="s">
        <v>728</v>
      </c>
      <c r="H262" s="23" t="s">
        <v>417</v>
      </c>
      <c r="I262" s="23" t="s">
        <v>19</v>
      </c>
      <c r="J262" s="23" t="s">
        <v>729</v>
      </c>
      <c r="K262" s="25" t="s">
        <v>21</v>
      </c>
      <c r="L262" s="25">
        <v>45267</v>
      </c>
      <c r="M262" s="25">
        <v>45147</v>
      </c>
      <c r="N262" s="40">
        <f t="shared" si="50"/>
        <v>45147</v>
      </c>
      <c r="O262" s="26" t="str">
        <f t="shared" ref="O262:O266" ca="1" si="51">IF(L262&gt;TODAY(),"Válida",IF(ISBLANK(L262),"Andamento",IF(L262&lt;TODAY(),"Vencida",IF(L262-TODAY()&lt;90,"URGENTE",IF(L262-TODAY()&lt;150,"RENOVAÇÃO",)))))</f>
        <v>Vencida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34.5" customHeight="1" x14ac:dyDescent="0.25">
      <c r="A263" s="54">
        <v>55</v>
      </c>
      <c r="B263" s="55">
        <v>26940</v>
      </c>
      <c r="C263" s="8">
        <v>2021</v>
      </c>
      <c r="D263" s="8" t="s">
        <v>730</v>
      </c>
      <c r="E263" s="8" t="s">
        <v>731</v>
      </c>
      <c r="F263" s="21" t="s">
        <v>732</v>
      </c>
      <c r="G263" s="8" t="s">
        <v>733</v>
      </c>
      <c r="H263" s="8" t="s">
        <v>417</v>
      </c>
      <c r="I263" s="8" t="s">
        <v>19</v>
      </c>
      <c r="J263" s="8" t="s">
        <v>698</v>
      </c>
      <c r="K263" s="10" t="s">
        <v>262</v>
      </c>
      <c r="L263" s="10">
        <v>46452</v>
      </c>
      <c r="M263" s="33">
        <v>46082</v>
      </c>
      <c r="N263" s="13">
        <f t="shared" si="50"/>
        <v>46332</v>
      </c>
      <c r="O263" s="11" t="str">
        <f t="shared" ca="1" si="51"/>
        <v>Válida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34.5" customHeight="1" x14ac:dyDescent="0.25">
      <c r="A264" s="54">
        <v>56</v>
      </c>
      <c r="B264" s="55">
        <v>1470</v>
      </c>
      <c r="C264" s="8">
        <v>2008</v>
      </c>
      <c r="D264" s="8" t="s">
        <v>1755</v>
      </c>
      <c r="E264" s="8" t="s">
        <v>1754</v>
      </c>
      <c r="F264" s="21" t="s">
        <v>16</v>
      </c>
      <c r="G264" s="8" t="s">
        <v>407</v>
      </c>
      <c r="H264" s="8"/>
      <c r="I264" s="8" t="s">
        <v>112</v>
      </c>
      <c r="J264" s="8"/>
      <c r="K264" s="10" t="s">
        <v>21</v>
      </c>
      <c r="L264" s="10">
        <v>46374</v>
      </c>
      <c r="M264" s="33">
        <v>46252</v>
      </c>
      <c r="N264" s="13">
        <v>46252</v>
      </c>
      <c r="O264" s="11" t="str">
        <f t="shared" ca="1" si="51"/>
        <v>Válida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34.5" customHeight="1" x14ac:dyDescent="0.25">
      <c r="A265" s="54">
        <v>56</v>
      </c>
      <c r="B265" s="55">
        <v>69</v>
      </c>
      <c r="C265" s="8">
        <v>2022</v>
      </c>
      <c r="D265" s="8" t="s">
        <v>734</v>
      </c>
      <c r="E265" s="8" t="s">
        <v>731</v>
      </c>
      <c r="F265" s="21" t="s">
        <v>193</v>
      </c>
      <c r="G265" s="8" t="s">
        <v>48</v>
      </c>
      <c r="H265" s="8"/>
      <c r="I265" s="8" t="s">
        <v>19</v>
      </c>
      <c r="J265" s="8"/>
      <c r="K265" s="10" t="s">
        <v>21</v>
      </c>
      <c r="L265" s="10">
        <v>46148</v>
      </c>
      <c r="M265" s="33">
        <v>45783</v>
      </c>
      <c r="N265" s="13">
        <f t="shared" si="50"/>
        <v>46028</v>
      </c>
      <c r="O265" s="11" t="str">
        <f t="shared" ca="1" si="51"/>
        <v>Válida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34.5" customHeight="1" x14ac:dyDescent="0.25">
      <c r="A266" s="54">
        <v>56</v>
      </c>
      <c r="B266" s="55">
        <v>28</v>
      </c>
      <c r="C266" s="8">
        <v>2025</v>
      </c>
      <c r="D266" s="8" t="s">
        <v>730</v>
      </c>
      <c r="E266" s="8" t="s">
        <v>731</v>
      </c>
      <c r="F266" s="8" t="s">
        <v>735</v>
      </c>
      <c r="G266" s="8" t="s">
        <v>48</v>
      </c>
      <c r="H266" s="8" t="s">
        <v>417</v>
      </c>
      <c r="I266" s="8" t="s">
        <v>19</v>
      </c>
      <c r="J266" s="8" t="s">
        <v>710</v>
      </c>
      <c r="K266" s="10" t="s">
        <v>736</v>
      </c>
      <c r="L266" s="10">
        <v>46616</v>
      </c>
      <c r="M266" s="10">
        <v>46131</v>
      </c>
      <c r="N266" s="13">
        <f t="shared" si="50"/>
        <v>46496</v>
      </c>
      <c r="O266" s="11" t="str">
        <f t="shared" ca="1" si="51"/>
        <v>Válida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34.5" customHeight="1" x14ac:dyDescent="0.25">
      <c r="A267" s="54">
        <v>56</v>
      </c>
      <c r="B267" s="55">
        <v>5</v>
      </c>
      <c r="C267" s="8">
        <v>2025</v>
      </c>
      <c r="D267" s="8" t="s">
        <v>737</v>
      </c>
      <c r="E267" s="8" t="s">
        <v>731</v>
      </c>
      <c r="F267" s="8" t="s">
        <v>738</v>
      </c>
      <c r="G267" s="8" t="s">
        <v>48</v>
      </c>
      <c r="H267" s="8" t="s">
        <v>417</v>
      </c>
      <c r="I267" s="8" t="s">
        <v>19</v>
      </c>
      <c r="J267" s="8" t="s">
        <v>710</v>
      </c>
      <c r="K267" s="10" t="s">
        <v>21</v>
      </c>
      <c r="L267" s="10">
        <v>47776</v>
      </c>
      <c r="M267" s="10">
        <v>46315</v>
      </c>
      <c r="N267" s="13">
        <f t="shared" si="50"/>
        <v>47656</v>
      </c>
      <c r="O267" s="11" t="s">
        <v>30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34.5" customHeight="1" x14ac:dyDescent="0.25">
      <c r="A268" s="54">
        <v>56</v>
      </c>
      <c r="B268" s="55">
        <v>20090030705</v>
      </c>
      <c r="C268" s="21" t="s">
        <v>739</v>
      </c>
      <c r="D268" s="8" t="s">
        <v>737</v>
      </c>
      <c r="E268" s="8" t="s">
        <v>731</v>
      </c>
      <c r="F268" s="8" t="s">
        <v>738</v>
      </c>
      <c r="G268" s="8" t="s">
        <v>48</v>
      </c>
      <c r="H268" s="8" t="s">
        <v>417</v>
      </c>
      <c r="I268" s="8" t="s">
        <v>19</v>
      </c>
      <c r="J268" s="8" t="s">
        <v>698</v>
      </c>
      <c r="K268" s="10" t="s">
        <v>433</v>
      </c>
      <c r="L268" s="10">
        <v>47048</v>
      </c>
      <c r="M268" s="10">
        <v>46317</v>
      </c>
      <c r="N268" s="13">
        <f t="shared" si="50"/>
        <v>46928</v>
      </c>
      <c r="O268" s="11" t="str">
        <f t="shared" ref="O268:O269" ca="1" si="52">IF(L268&gt;TODAY(),"Válida",IF(ISBLANK(L268),"Andamento",IF(L268&lt;TODAY(),"Vencida",IF(L268-TODAY()&lt;90,"URGENTE",IF(L268-TODAY()&lt;150,"RENOVAÇÃO",)))))</f>
        <v>Válida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34.5" customHeight="1" x14ac:dyDescent="0.25">
      <c r="A269" s="54">
        <v>56</v>
      </c>
      <c r="B269" s="55" t="s">
        <v>740</v>
      </c>
      <c r="C269" s="21">
        <v>2011</v>
      </c>
      <c r="D269" s="8" t="s">
        <v>741</v>
      </c>
      <c r="E269" s="8" t="s">
        <v>742</v>
      </c>
      <c r="F269" s="8" t="s">
        <v>1796</v>
      </c>
      <c r="G269" s="8" t="s">
        <v>48</v>
      </c>
      <c r="H269" s="8"/>
      <c r="I269" s="8" t="s">
        <v>19</v>
      </c>
      <c r="J269" s="8"/>
      <c r="K269" s="10" t="s">
        <v>618</v>
      </c>
      <c r="L269" s="10">
        <v>46394</v>
      </c>
      <c r="M269" s="10">
        <v>46274</v>
      </c>
      <c r="N269" s="13">
        <f t="shared" si="50"/>
        <v>46274</v>
      </c>
      <c r="O269" s="11" t="str">
        <f t="shared" ca="1" si="52"/>
        <v>Válida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34.5" customHeight="1" x14ac:dyDescent="0.25">
      <c r="A270" s="54">
        <v>56</v>
      </c>
      <c r="B270" s="55" t="s">
        <v>743</v>
      </c>
      <c r="C270" s="21">
        <v>2024</v>
      </c>
      <c r="D270" s="8" t="s">
        <v>744</v>
      </c>
      <c r="E270" s="8" t="s">
        <v>731</v>
      </c>
      <c r="F270" s="8" t="s">
        <v>617</v>
      </c>
      <c r="G270" s="8" t="s">
        <v>48</v>
      </c>
      <c r="H270" s="8"/>
      <c r="I270" s="8" t="s">
        <v>19</v>
      </c>
      <c r="J270" s="8"/>
      <c r="K270" s="10" t="s">
        <v>618</v>
      </c>
      <c r="L270" s="10">
        <v>46930</v>
      </c>
      <c r="M270" s="10">
        <v>46174</v>
      </c>
      <c r="N270" s="13">
        <f t="shared" si="50"/>
        <v>46810</v>
      </c>
      <c r="O270" s="11" t="s">
        <v>560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36.75" customHeight="1" x14ac:dyDescent="0.25">
      <c r="A271" s="54">
        <v>57</v>
      </c>
      <c r="B271" s="55">
        <v>10</v>
      </c>
      <c r="C271" s="8">
        <v>2022</v>
      </c>
      <c r="D271" s="8" t="s">
        <v>745</v>
      </c>
      <c r="E271" s="8" t="s">
        <v>746</v>
      </c>
      <c r="F271" s="8" t="s">
        <v>747</v>
      </c>
      <c r="G271" s="8" t="s">
        <v>48</v>
      </c>
      <c r="H271" s="8" t="s">
        <v>417</v>
      </c>
      <c r="I271" s="8" t="s">
        <v>19</v>
      </c>
      <c r="J271" s="8"/>
      <c r="K271" s="10" t="s">
        <v>210</v>
      </c>
      <c r="L271" s="10">
        <v>46152</v>
      </c>
      <c r="M271" s="10">
        <v>46032</v>
      </c>
      <c r="N271" s="13">
        <f t="shared" si="50"/>
        <v>46032</v>
      </c>
      <c r="O271" s="11" t="str">
        <f t="shared" ref="O271:O272" ca="1" si="53">IF(L271&gt;TODAY(),"Válida",IF(ISBLANK(L271),"Andamento",IF(L271&lt;TODAY(),"Vencida",IF(L271-TODAY()&lt;90,"URGENTE",IF(L271-TODAY()&lt;150,"RENOVAÇÃO",)))))</f>
        <v>Válida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34.5" customHeight="1" x14ac:dyDescent="0.25">
      <c r="A272" s="54">
        <v>58</v>
      </c>
      <c r="B272" s="55">
        <v>16121</v>
      </c>
      <c r="C272" s="8">
        <v>2020</v>
      </c>
      <c r="D272" s="8" t="s">
        <v>748</v>
      </c>
      <c r="E272" s="8" t="s">
        <v>749</v>
      </c>
      <c r="F272" s="8" t="s">
        <v>81</v>
      </c>
      <c r="G272" s="8" t="s">
        <v>750</v>
      </c>
      <c r="H272" s="8" t="s">
        <v>417</v>
      </c>
      <c r="I272" s="8" t="s">
        <v>19</v>
      </c>
      <c r="J272" s="8" t="s">
        <v>751</v>
      </c>
      <c r="K272" s="10" t="s">
        <v>262</v>
      </c>
      <c r="L272" s="10">
        <v>45564</v>
      </c>
      <c r="M272" s="10">
        <v>45444</v>
      </c>
      <c r="N272" s="13">
        <f t="shared" si="50"/>
        <v>45444</v>
      </c>
      <c r="O272" s="11" t="str">
        <f t="shared" ca="1" si="53"/>
        <v>Vencida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34.5" customHeight="1" x14ac:dyDescent="0.25">
      <c r="A273" s="54">
        <v>58</v>
      </c>
      <c r="B273" s="55">
        <v>22197</v>
      </c>
      <c r="C273" s="23">
        <v>2024</v>
      </c>
      <c r="D273" s="23" t="s">
        <v>748</v>
      </c>
      <c r="E273" s="23" t="s">
        <v>749</v>
      </c>
      <c r="F273" s="23" t="s">
        <v>81</v>
      </c>
      <c r="G273" s="23" t="s">
        <v>750</v>
      </c>
      <c r="H273" s="23"/>
      <c r="I273" s="23" t="s">
        <v>19</v>
      </c>
      <c r="J273" s="23"/>
      <c r="K273" s="25" t="s">
        <v>262</v>
      </c>
      <c r="L273" s="25"/>
      <c r="M273" s="25"/>
      <c r="N273" s="40"/>
      <c r="O273" s="2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34.5" customHeight="1" x14ac:dyDescent="0.25">
      <c r="A274" s="54">
        <v>59</v>
      </c>
      <c r="B274" s="55">
        <v>3627</v>
      </c>
      <c r="C274" s="8">
        <v>2016</v>
      </c>
      <c r="D274" s="8" t="s">
        <v>752</v>
      </c>
      <c r="E274" s="8" t="s">
        <v>753</v>
      </c>
      <c r="F274" s="15" t="s">
        <v>16</v>
      </c>
      <c r="G274" s="8" t="s">
        <v>17</v>
      </c>
      <c r="H274" s="8" t="s">
        <v>417</v>
      </c>
      <c r="I274" s="8" t="s">
        <v>19</v>
      </c>
      <c r="J274" s="8" t="s">
        <v>754</v>
      </c>
      <c r="K274" s="10" t="s">
        <v>21</v>
      </c>
      <c r="L274" s="10">
        <v>46287</v>
      </c>
      <c r="M274" s="10">
        <v>46164</v>
      </c>
      <c r="N274" s="13">
        <v>46164</v>
      </c>
      <c r="O274" s="11" t="str">
        <f t="shared" ref="O274:O277" ca="1" si="54">IF(L274&gt;TODAY(),"Válida",IF(ISBLANK(L274),"Andamento",IF(L274&lt;TODAY(),"Vencida",IF(L274-TODAY()&lt;90,"URGENTE",IF(L274-TODAY()&lt;150,"RENOVAÇÃO",)))))</f>
        <v>Válida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34.5" customHeight="1" x14ac:dyDescent="0.25">
      <c r="A275" s="54">
        <v>60</v>
      </c>
      <c r="B275" s="55">
        <v>998</v>
      </c>
      <c r="C275" s="192">
        <v>2006</v>
      </c>
      <c r="D275" s="192" t="s">
        <v>755</v>
      </c>
      <c r="E275" s="192" t="s">
        <v>756</v>
      </c>
      <c r="F275" s="192" t="s">
        <v>16</v>
      </c>
      <c r="G275" s="192" t="s">
        <v>17</v>
      </c>
      <c r="H275" s="203" t="s">
        <v>417</v>
      </c>
      <c r="I275" s="192" t="s">
        <v>19</v>
      </c>
      <c r="J275" s="192" t="s">
        <v>757</v>
      </c>
      <c r="K275" s="194" t="s">
        <v>21</v>
      </c>
      <c r="L275" s="194">
        <v>44171</v>
      </c>
      <c r="M275" s="194">
        <v>44051</v>
      </c>
      <c r="N275" s="198">
        <f t="shared" ref="N275:N287" si="55">L275-120</f>
        <v>44051</v>
      </c>
      <c r="O275" s="196" t="str">
        <f t="shared" ca="1" si="54"/>
        <v>Vencida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34.5" customHeight="1" x14ac:dyDescent="0.25">
      <c r="A276" s="54">
        <v>60</v>
      </c>
      <c r="B276" s="55">
        <v>1926</v>
      </c>
      <c r="C276" s="62">
        <v>2010</v>
      </c>
      <c r="D276" s="8" t="s">
        <v>758</v>
      </c>
      <c r="E276" s="8" t="s">
        <v>759</v>
      </c>
      <c r="F276" s="8" t="s">
        <v>16</v>
      </c>
      <c r="G276" s="8" t="s">
        <v>17</v>
      </c>
      <c r="H276" s="8" t="s">
        <v>417</v>
      </c>
      <c r="I276" s="8" t="s">
        <v>19</v>
      </c>
      <c r="J276" s="8" t="s">
        <v>660</v>
      </c>
      <c r="K276" s="10" t="s">
        <v>21</v>
      </c>
      <c r="L276" s="10">
        <v>47179</v>
      </c>
      <c r="M276" s="10">
        <v>46448</v>
      </c>
      <c r="N276" s="13">
        <f t="shared" si="55"/>
        <v>47059</v>
      </c>
      <c r="O276" s="11" t="str">
        <f t="shared" ca="1" si="54"/>
        <v>Válida</v>
      </c>
      <c r="P276" s="5"/>
      <c r="Q276" s="5"/>
      <c r="R276" s="5"/>
      <c r="S276" s="63" t="s">
        <v>760</v>
      </c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34.5" customHeight="1" x14ac:dyDescent="0.25">
      <c r="A277" s="54">
        <v>61</v>
      </c>
      <c r="B277" s="55">
        <v>173</v>
      </c>
      <c r="C277" s="8">
        <v>2021</v>
      </c>
      <c r="D277" s="8" t="s">
        <v>761</v>
      </c>
      <c r="E277" s="8" t="s">
        <v>762</v>
      </c>
      <c r="F277" s="8" t="s">
        <v>193</v>
      </c>
      <c r="G277" s="8" t="s">
        <v>763</v>
      </c>
      <c r="H277" s="8" t="s">
        <v>417</v>
      </c>
      <c r="I277" s="8" t="s">
        <v>19</v>
      </c>
      <c r="J277" s="8" t="s">
        <v>764</v>
      </c>
      <c r="K277" s="10" t="s">
        <v>21</v>
      </c>
      <c r="L277" s="10">
        <v>46000</v>
      </c>
      <c r="M277" s="10">
        <v>45880</v>
      </c>
      <c r="N277" s="13">
        <f t="shared" si="55"/>
        <v>45880</v>
      </c>
      <c r="O277" s="11" t="str">
        <f t="shared" ca="1" si="54"/>
        <v>Vencida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34.5" customHeight="1" x14ac:dyDescent="0.25">
      <c r="A278" s="54">
        <v>62</v>
      </c>
      <c r="B278" s="55">
        <v>68</v>
      </c>
      <c r="C278" s="21">
        <v>2019</v>
      </c>
      <c r="D278" s="8" t="s">
        <v>765</v>
      </c>
      <c r="E278" s="8" t="s">
        <v>766</v>
      </c>
      <c r="F278" s="8" t="s">
        <v>767</v>
      </c>
      <c r="G278" s="8" t="s">
        <v>768</v>
      </c>
      <c r="H278" s="8" t="s">
        <v>417</v>
      </c>
      <c r="I278" s="8" t="s">
        <v>19</v>
      </c>
      <c r="J278" s="8" t="s">
        <v>545</v>
      </c>
      <c r="K278" s="10" t="s">
        <v>21</v>
      </c>
      <c r="L278" s="10">
        <v>46324</v>
      </c>
      <c r="M278" s="10">
        <v>46204</v>
      </c>
      <c r="N278" s="13">
        <f t="shared" si="55"/>
        <v>46204</v>
      </c>
      <c r="O278" s="11" t="s">
        <v>30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34.5" customHeight="1" x14ac:dyDescent="0.25">
      <c r="A279" s="54">
        <v>63</v>
      </c>
      <c r="B279" s="55" t="s">
        <v>1797</v>
      </c>
      <c r="C279" s="21">
        <v>2025</v>
      </c>
      <c r="D279" s="8" t="s">
        <v>769</v>
      </c>
      <c r="E279" s="8" t="s">
        <v>770</v>
      </c>
      <c r="F279" s="8" t="s">
        <v>771</v>
      </c>
      <c r="G279" s="8" t="s">
        <v>217</v>
      </c>
      <c r="H279" s="8" t="s">
        <v>417</v>
      </c>
      <c r="I279" s="8" t="s">
        <v>19</v>
      </c>
      <c r="J279" s="8" t="s">
        <v>545</v>
      </c>
      <c r="K279" s="10" t="s">
        <v>21</v>
      </c>
      <c r="L279" s="10">
        <v>47268</v>
      </c>
      <c r="M279" s="10">
        <v>46476</v>
      </c>
      <c r="N279" s="13">
        <f t="shared" si="55"/>
        <v>47148</v>
      </c>
      <c r="O279" s="11" t="str">
        <f t="shared" ref="O279:O294" ca="1" si="56">IF(L279&gt;TODAY(),"Válida",IF(ISBLANK(L279),"Andamento",IF(L279&lt;TODAY(),"Vencida",IF(L279-TODAY()&lt;90,"URGENTE",IF(L279-TODAY()&lt;150,"RENOVAÇÃO",)))))</f>
        <v>Válida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34.5" customHeight="1" x14ac:dyDescent="0.25">
      <c r="A280" s="54">
        <v>64</v>
      </c>
      <c r="B280" s="55" t="s">
        <v>772</v>
      </c>
      <c r="C280" s="8">
        <v>2025</v>
      </c>
      <c r="D280" s="8" t="s">
        <v>234</v>
      </c>
      <c r="E280" s="8" t="s">
        <v>773</v>
      </c>
      <c r="F280" s="8" t="s">
        <v>16</v>
      </c>
      <c r="G280" s="8" t="s">
        <v>168</v>
      </c>
      <c r="H280" s="8"/>
      <c r="I280" s="8" t="s">
        <v>40</v>
      </c>
      <c r="J280" s="8"/>
      <c r="K280" s="10" t="s">
        <v>21</v>
      </c>
      <c r="L280" s="10">
        <v>47150</v>
      </c>
      <c r="M280" s="10">
        <v>46419</v>
      </c>
      <c r="N280" s="13">
        <f t="shared" si="55"/>
        <v>47030</v>
      </c>
      <c r="O280" s="11" t="str">
        <f t="shared" ca="1" si="56"/>
        <v>Válida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34.5" customHeight="1" x14ac:dyDescent="0.25">
      <c r="A281" s="54">
        <v>65</v>
      </c>
      <c r="B281" s="55">
        <v>312030</v>
      </c>
      <c r="C281" s="8">
        <v>2024</v>
      </c>
      <c r="D281" s="8" t="s">
        <v>774</v>
      </c>
      <c r="E281" s="8" t="s">
        <v>775</v>
      </c>
      <c r="F281" s="8" t="s">
        <v>191</v>
      </c>
      <c r="G281" s="8" t="s">
        <v>48</v>
      </c>
      <c r="H281" s="8" t="s">
        <v>417</v>
      </c>
      <c r="I281" s="8" t="s">
        <v>19</v>
      </c>
      <c r="J281" s="8" t="s">
        <v>628</v>
      </c>
      <c r="K281" s="10" t="s">
        <v>21</v>
      </c>
      <c r="L281" s="10">
        <v>47218</v>
      </c>
      <c r="M281" s="10">
        <v>46122</v>
      </c>
      <c r="N281" s="13">
        <f t="shared" si="55"/>
        <v>47098</v>
      </c>
      <c r="O281" s="11" t="str">
        <f t="shared" ca="1" si="56"/>
        <v>Válida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34.5" customHeight="1" x14ac:dyDescent="0.25">
      <c r="A282" s="54">
        <v>65</v>
      </c>
      <c r="B282" s="55">
        <v>178</v>
      </c>
      <c r="C282" s="8">
        <v>2024</v>
      </c>
      <c r="D282" s="8" t="s">
        <v>776</v>
      </c>
      <c r="E282" s="8" t="s">
        <v>777</v>
      </c>
      <c r="F282" s="8" t="s">
        <v>289</v>
      </c>
      <c r="G282" s="8" t="s">
        <v>778</v>
      </c>
      <c r="H282" s="8" t="s">
        <v>417</v>
      </c>
      <c r="I282" s="8" t="s">
        <v>19</v>
      </c>
      <c r="J282" s="8" t="s">
        <v>628</v>
      </c>
      <c r="K282" s="10" t="s">
        <v>21</v>
      </c>
      <c r="L282" s="10">
        <v>47169</v>
      </c>
      <c r="M282" s="10">
        <v>46438</v>
      </c>
      <c r="N282" s="13">
        <f t="shared" si="55"/>
        <v>47049</v>
      </c>
      <c r="O282" s="11" t="str">
        <f t="shared" ca="1" si="56"/>
        <v>Válida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34.5" customHeight="1" x14ac:dyDescent="0.25">
      <c r="A283" s="54">
        <v>66</v>
      </c>
      <c r="B283" s="55">
        <v>4621</v>
      </c>
      <c r="C283" s="8">
        <v>2019</v>
      </c>
      <c r="D283" s="8" t="s">
        <v>779</v>
      </c>
      <c r="E283" s="8" t="s">
        <v>780</v>
      </c>
      <c r="F283" s="8" t="s">
        <v>16</v>
      </c>
      <c r="G283" s="8" t="s">
        <v>17</v>
      </c>
      <c r="H283" s="8" t="s">
        <v>417</v>
      </c>
      <c r="I283" s="8" t="s">
        <v>19</v>
      </c>
      <c r="J283" s="8" t="s">
        <v>520</v>
      </c>
      <c r="K283" s="10" t="s">
        <v>21</v>
      </c>
      <c r="L283" s="10">
        <v>46252</v>
      </c>
      <c r="M283" s="10">
        <v>46132</v>
      </c>
      <c r="N283" s="13">
        <f t="shared" si="55"/>
        <v>46132</v>
      </c>
      <c r="O283" s="11" t="str">
        <f t="shared" ca="1" si="56"/>
        <v>Válida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34.5" customHeight="1" x14ac:dyDescent="0.25">
      <c r="A284" s="54">
        <v>67</v>
      </c>
      <c r="B284" s="56">
        <v>5464</v>
      </c>
      <c r="C284" s="21">
        <v>2020</v>
      </c>
      <c r="D284" s="9" t="s">
        <v>781</v>
      </c>
      <c r="E284" s="9" t="s">
        <v>782</v>
      </c>
      <c r="F284" s="9" t="s">
        <v>16</v>
      </c>
      <c r="G284" s="9" t="s">
        <v>783</v>
      </c>
      <c r="H284" s="8" t="s">
        <v>417</v>
      </c>
      <c r="I284" s="9" t="s">
        <v>19</v>
      </c>
      <c r="J284" s="9" t="s">
        <v>517</v>
      </c>
      <c r="K284" s="13" t="s">
        <v>21</v>
      </c>
      <c r="L284" s="13">
        <v>44441</v>
      </c>
      <c r="M284" s="13">
        <v>44321</v>
      </c>
      <c r="N284" s="13">
        <f t="shared" si="55"/>
        <v>44321</v>
      </c>
      <c r="O284" s="11" t="str">
        <f t="shared" ca="1" si="56"/>
        <v>Vencida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34.5" customHeight="1" x14ac:dyDescent="0.25">
      <c r="A285" s="54">
        <v>68</v>
      </c>
      <c r="B285" s="55">
        <v>372</v>
      </c>
      <c r="C285" s="21">
        <v>2023</v>
      </c>
      <c r="D285" s="8" t="s">
        <v>784</v>
      </c>
      <c r="E285" s="8" t="s">
        <v>785</v>
      </c>
      <c r="F285" s="8" t="s">
        <v>238</v>
      </c>
      <c r="G285" s="8" t="s">
        <v>287</v>
      </c>
      <c r="H285" s="8" t="s">
        <v>417</v>
      </c>
      <c r="I285" s="8" t="s">
        <v>19</v>
      </c>
      <c r="J285" s="8" t="s">
        <v>786</v>
      </c>
      <c r="K285" s="10" t="s">
        <v>21</v>
      </c>
      <c r="L285" s="10">
        <v>46680</v>
      </c>
      <c r="M285" s="10">
        <v>46560</v>
      </c>
      <c r="N285" s="13">
        <f t="shared" si="55"/>
        <v>46560</v>
      </c>
      <c r="O285" s="11" t="str">
        <f t="shared" ca="1" si="56"/>
        <v>Válida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34.5" customHeight="1" x14ac:dyDescent="0.25">
      <c r="A286" s="54">
        <v>69</v>
      </c>
      <c r="B286" s="55">
        <v>34435</v>
      </c>
      <c r="C286" s="8">
        <v>2021</v>
      </c>
      <c r="D286" s="8" t="s">
        <v>787</v>
      </c>
      <c r="E286" s="8" t="s">
        <v>788</v>
      </c>
      <c r="F286" s="8" t="s">
        <v>402</v>
      </c>
      <c r="G286" s="9" t="s">
        <v>67</v>
      </c>
      <c r="H286" s="8" t="s">
        <v>417</v>
      </c>
      <c r="I286" s="8" t="s">
        <v>19</v>
      </c>
      <c r="J286" s="8" t="s">
        <v>789</v>
      </c>
      <c r="K286" s="10" t="s">
        <v>262</v>
      </c>
      <c r="L286" s="10">
        <v>46168</v>
      </c>
      <c r="M286" s="14">
        <v>45803</v>
      </c>
      <c r="N286" s="13">
        <f t="shared" si="55"/>
        <v>46048</v>
      </c>
      <c r="O286" s="11" t="str">
        <f t="shared" ca="1" si="56"/>
        <v>Válida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34.5" customHeight="1" x14ac:dyDescent="0.25">
      <c r="A287" s="54">
        <v>70</v>
      </c>
      <c r="B287" s="55">
        <v>2155</v>
      </c>
      <c r="C287" s="8">
        <v>2011</v>
      </c>
      <c r="D287" s="8" t="s">
        <v>790</v>
      </c>
      <c r="E287" s="8" t="s">
        <v>541</v>
      </c>
      <c r="F287" s="8" t="s">
        <v>16</v>
      </c>
      <c r="G287" s="8" t="s">
        <v>17</v>
      </c>
      <c r="H287" s="8" t="s">
        <v>417</v>
      </c>
      <c r="I287" s="8" t="s">
        <v>19</v>
      </c>
      <c r="J287" s="8" t="s">
        <v>567</v>
      </c>
      <c r="K287" s="10" t="s">
        <v>21</v>
      </c>
      <c r="L287" s="10">
        <v>47104</v>
      </c>
      <c r="M287" s="10">
        <v>46373</v>
      </c>
      <c r="N287" s="13">
        <f t="shared" si="55"/>
        <v>46984</v>
      </c>
      <c r="O287" s="11" t="str">
        <f t="shared" ca="1" si="56"/>
        <v>Válida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34.5" customHeight="1" x14ac:dyDescent="0.25">
      <c r="A288" s="54">
        <v>71</v>
      </c>
      <c r="B288" s="56">
        <v>15</v>
      </c>
      <c r="C288" s="8">
        <v>2024</v>
      </c>
      <c r="D288" s="8" t="s">
        <v>791</v>
      </c>
      <c r="E288" s="8" t="s">
        <v>792</v>
      </c>
      <c r="F288" s="8" t="s">
        <v>502</v>
      </c>
      <c r="G288" s="9" t="s">
        <v>217</v>
      </c>
      <c r="H288" s="8"/>
      <c r="I288" s="8" t="s">
        <v>19</v>
      </c>
      <c r="J288" s="8"/>
      <c r="K288" s="10" t="s">
        <v>21</v>
      </c>
      <c r="L288" s="10">
        <v>47103</v>
      </c>
      <c r="M288" s="10">
        <v>46007</v>
      </c>
      <c r="N288" s="13">
        <v>46981</v>
      </c>
      <c r="O288" s="11" t="str">
        <f t="shared" ca="1" si="56"/>
        <v>Válida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34.5" customHeight="1" x14ac:dyDescent="0.25">
      <c r="A289" s="54">
        <v>72</v>
      </c>
      <c r="B289" s="55" t="s">
        <v>1751</v>
      </c>
      <c r="C289" s="8">
        <v>2025</v>
      </c>
      <c r="D289" s="8" t="s">
        <v>1752</v>
      </c>
      <c r="E289" s="8" t="s">
        <v>793</v>
      </c>
      <c r="F289" s="8" t="s">
        <v>402</v>
      </c>
      <c r="G289" s="9" t="s">
        <v>794</v>
      </c>
      <c r="H289" s="8"/>
      <c r="I289" s="8" t="s">
        <v>19</v>
      </c>
      <c r="J289" s="8"/>
      <c r="K289" s="10" t="s">
        <v>21</v>
      </c>
      <c r="L289" s="10">
        <v>46373</v>
      </c>
      <c r="M289" s="10">
        <v>46253</v>
      </c>
      <c r="N289" s="13">
        <f>L289-120</f>
        <v>46253</v>
      </c>
      <c r="O289" s="11" t="str">
        <f t="shared" ca="1" si="56"/>
        <v>Válida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34.5" customHeight="1" x14ac:dyDescent="0.25">
      <c r="A290" s="54">
        <v>72</v>
      </c>
      <c r="B290" s="55" t="s">
        <v>1783</v>
      </c>
      <c r="C290" s="8">
        <v>2025</v>
      </c>
      <c r="D290" s="8" t="s">
        <v>1752</v>
      </c>
      <c r="E290" s="8" t="s">
        <v>793</v>
      </c>
      <c r="F290" s="8" t="s">
        <v>402</v>
      </c>
      <c r="G290" s="9" t="s">
        <v>794</v>
      </c>
      <c r="H290" s="8"/>
      <c r="I290" s="8" t="s">
        <v>19</v>
      </c>
      <c r="J290" s="8"/>
      <c r="K290" s="10" t="s">
        <v>262</v>
      </c>
      <c r="L290" s="10">
        <v>47524</v>
      </c>
      <c r="M290" s="10">
        <v>46428</v>
      </c>
      <c r="N290" s="13">
        <f>L290-120</f>
        <v>47404</v>
      </c>
      <c r="O290" s="11" t="str">
        <f t="shared" ca="1" si="56"/>
        <v>Válida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34.5" customHeight="1" x14ac:dyDescent="0.25">
      <c r="A291" s="54">
        <v>73</v>
      </c>
      <c r="B291" s="55">
        <v>5708</v>
      </c>
      <c r="C291" s="8">
        <v>2021</v>
      </c>
      <c r="D291" s="8" t="s">
        <v>489</v>
      </c>
      <c r="E291" s="8" t="s">
        <v>795</v>
      </c>
      <c r="F291" s="8" t="s">
        <v>16</v>
      </c>
      <c r="G291" s="8" t="s">
        <v>796</v>
      </c>
      <c r="H291" s="8" t="s">
        <v>417</v>
      </c>
      <c r="I291" s="8" t="s">
        <v>19</v>
      </c>
      <c r="J291" s="8" t="s">
        <v>710</v>
      </c>
      <c r="K291" s="8" t="s">
        <v>21</v>
      </c>
      <c r="L291" s="10">
        <v>45873</v>
      </c>
      <c r="M291" s="10">
        <v>45753</v>
      </c>
      <c r="N291" s="13">
        <f t="shared" ref="N291:N296" si="57">L291-120</f>
        <v>45753</v>
      </c>
      <c r="O291" s="11" t="str">
        <f t="shared" ca="1" si="56"/>
        <v>Vencida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34.5" customHeight="1" x14ac:dyDescent="0.25">
      <c r="A292" s="54">
        <v>73</v>
      </c>
      <c r="B292" s="55">
        <v>22</v>
      </c>
      <c r="C292" s="8">
        <v>2021</v>
      </c>
      <c r="D292" s="8" t="s">
        <v>797</v>
      </c>
      <c r="E292" s="8" t="s">
        <v>798</v>
      </c>
      <c r="F292" s="8" t="s">
        <v>404</v>
      </c>
      <c r="G292" s="8" t="s">
        <v>799</v>
      </c>
      <c r="H292" s="8" t="s">
        <v>417</v>
      </c>
      <c r="I292" s="8" t="s">
        <v>19</v>
      </c>
      <c r="J292" s="8" t="s">
        <v>710</v>
      </c>
      <c r="K292" s="10" t="s">
        <v>21</v>
      </c>
      <c r="L292" s="10">
        <v>46213</v>
      </c>
      <c r="M292" s="14">
        <v>46093</v>
      </c>
      <c r="N292" s="13">
        <f t="shared" si="57"/>
        <v>46093</v>
      </c>
      <c r="O292" s="11" t="str">
        <f t="shared" ca="1" si="56"/>
        <v>Válida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34.5" customHeight="1" x14ac:dyDescent="0.25">
      <c r="A293" s="54">
        <v>73</v>
      </c>
      <c r="B293" s="55">
        <v>28</v>
      </c>
      <c r="C293" s="8">
        <v>2021</v>
      </c>
      <c r="D293" s="8" t="s">
        <v>800</v>
      </c>
      <c r="E293" s="8" t="s">
        <v>801</v>
      </c>
      <c r="F293" s="8" t="s">
        <v>404</v>
      </c>
      <c r="G293" s="8" t="s">
        <v>802</v>
      </c>
      <c r="H293" s="8" t="s">
        <v>417</v>
      </c>
      <c r="I293" s="8" t="s">
        <v>19</v>
      </c>
      <c r="J293" s="8" t="s">
        <v>710</v>
      </c>
      <c r="K293" s="10" t="s">
        <v>21</v>
      </c>
      <c r="L293" s="10">
        <v>46213</v>
      </c>
      <c r="M293" s="14">
        <v>46093</v>
      </c>
      <c r="N293" s="13">
        <f t="shared" si="57"/>
        <v>46093</v>
      </c>
      <c r="O293" s="11" t="str">
        <f t="shared" ca="1" si="56"/>
        <v>Válida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34.5" customHeight="1" x14ac:dyDescent="0.25">
      <c r="A294" s="54">
        <v>74</v>
      </c>
      <c r="B294" s="55">
        <v>6297</v>
      </c>
      <c r="C294" s="8">
        <v>2022</v>
      </c>
      <c r="D294" s="8" t="s">
        <v>803</v>
      </c>
      <c r="E294" s="8" t="s">
        <v>804</v>
      </c>
      <c r="F294" s="8" t="s">
        <v>16</v>
      </c>
      <c r="G294" s="8" t="s">
        <v>142</v>
      </c>
      <c r="H294" s="8" t="s">
        <v>417</v>
      </c>
      <c r="I294" s="8" t="s">
        <v>19</v>
      </c>
      <c r="J294" s="8" t="s">
        <v>710</v>
      </c>
      <c r="K294" s="10" t="s">
        <v>21</v>
      </c>
      <c r="L294" s="10">
        <v>46225</v>
      </c>
      <c r="M294" s="14">
        <v>46105</v>
      </c>
      <c r="N294" s="13">
        <f t="shared" si="57"/>
        <v>46105</v>
      </c>
      <c r="O294" s="11" t="str">
        <f t="shared" ca="1" si="56"/>
        <v>Válida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34.5" customHeight="1" x14ac:dyDescent="0.25">
      <c r="A295" s="54">
        <v>74</v>
      </c>
      <c r="B295" s="55">
        <v>43947</v>
      </c>
      <c r="C295" s="8">
        <v>2022</v>
      </c>
      <c r="D295" s="8" t="s">
        <v>803</v>
      </c>
      <c r="E295" s="8" t="s">
        <v>804</v>
      </c>
      <c r="F295" s="8" t="s">
        <v>16</v>
      </c>
      <c r="G295" s="8" t="s">
        <v>142</v>
      </c>
      <c r="H295" s="8" t="s">
        <v>417</v>
      </c>
      <c r="I295" s="8" t="s">
        <v>19</v>
      </c>
      <c r="J295" s="8"/>
      <c r="K295" s="10" t="s">
        <v>262</v>
      </c>
      <c r="L295" s="10">
        <v>46446</v>
      </c>
      <c r="M295" s="14" t="s">
        <v>136</v>
      </c>
      <c r="N295" s="13">
        <f t="shared" si="57"/>
        <v>46326</v>
      </c>
      <c r="O295" s="11" t="s">
        <v>136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34.5" customHeight="1" x14ac:dyDescent="0.25">
      <c r="A296" s="54">
        <v>75</v>
      </c>
      <c r="B296" s="58" t="s">
        <v>805</v>
      </c>
      <c r="C296" s="15">
        <v>2023</v>
      </c>
      <c r="D296" s="8" t="s">
        <v>806</v>
      </c>
      <c r="E296" s="8" t="s">
        <v>807</v>
      </c>
      <c r="F296" s="8" t="s">
        <v>81</v>
      </c>
      <c r="G296" s="8" t="s">
        <v>67</v>
      </c>
      <c r="H296" s="8" t="s">
        <v>417</v>
      </c>
      <c r="I296" s="8" t="s">
        <v>19</v>
      </c>
      <c r="J296" s="8" t="s">
        <v>808</v>
      </c>
      <c r="K296" s="8" t="s">
        <v>21</v>
      </c>
      <c r="L296" s="10">
        <v>46583</v>
      </c>
      <c r="M296" s="10">
        <v>46218</v>
      </c>
      <c r="N296" s="13">
        <f t="shared" si="57"/>
        <v>46463</v>
      </c>
      <c r="O296" s="11" t="str">
        <f t="shared" ref="O296:O299" ca="1" si="58">IF(L296&gt;TODAY(),"Válida",IF(ISBLANK(L296),"Andamento",IF(L296&lt;TODAY(),"Vencida",IF(L296-TODAY()&lt;90,"URGENTE",IF(L296-TODAY()&lt;150,"RENOVAÇÃO",)))))</f>
        <v>Válida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34.5" customHeight="1" x14ac:dyDescent="0.25">
      <c r="A297" s="54">
        <v>76</v>
      </c>
      <c r="B297" s="55" t="s">
        <v>1829</v>
      </c>
      <c r="C297" s="8">
        <v>2024</v>
      </c>
      <c r="D297" s="8" t="s">
        <v>809</v>
      </c>
      <c r="E297" s="8" t="s">
        <v>810</v>
      </c>
      <c r="F297" s="8" t="s">
        <v>16</v>
      </c>
      <c r="G297" s="8" t="s">
        <v>123</v>
      </c>
      <c r="H297" s="8" t="s">
        <v>417</v>
      </c>
      <c r="I297" s="8" t="s">
        <v>19</v>
      </c>
      <c r="J297" s="8" t="s">
        <v>811</v>
      </c>
      <c r="K297" s="8" t="s">
        <v>21</v>
      </c>
      <c r="L297" s="10">
        <v>47924</v>
      </c>
      <c r="M297" s="10">
        <v>46463</v>
      </c>
      <c r="N297" s="13">
        <v>47804</v>
      </c>
      <c r="O297" s="11" t="str">
        <f t="shared" ca="1" si="58"/>
        <v>Válida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34.5" customHeight="1" x14ac:dyDescent="0.25">
      <c r="A298" s="54">
        <v>76</v>
      </c>
      <c r="B298" s="55" t="s">
        <v>812</v>
      </c>
      <c r="C298" s="8">
        <v>2025</v>
      </c>
      <c r="D298" s="8" t="s">
        <v>813</v>
      </c>
      <c r="E298" s="8" t="s">
        <v>814</v>
      </c>
      <c r="F298" s="8" t="s">
        <v>16</v>
      </c>
      <c r="G298" s="8" t="s">
        <v>506</v>
      </c>
      <c r="H298" s="8"/>
      <c r="I298" s="8" t="s">
        <v>347</v>
      </c>
      <c r="J298" s="8"/>
      <c r="K298" s="8" t="s">
        <v>21</v>
      </c>
      <c r="L298" s="10">
        <v>47196</v>
      </c>
      <c r="M298" s="10">
        <v>46465</v>
      </c>
      <c r="N298" s="13">
        <v>47076</v>
      </c>
      <c r="O298" s="11" t="str">
        <f t="shared" ca="1" si="58"/>
        <v>Válida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34.5" customHeight="1" x14ac:dyDescent="0.25">
      <c r="A299" s="54">
        <v>77</v>
      </c>
      <c r="B299" s="55" t="s">
        <v>1812</v>
      </c>
      <c r="C299" s="8">
        <v>2025</v>
      </c>
      <c r="D299" s="8" t="s">
        <v>815</v>
      </c>
      <c r="E299" s="8" t="s">
        <v>816</v>
      </c>
      <c r="F299" s="8" t="s">
        <v>16</v>
      </c>
      <c r="G299" s="8" t="s">
        <v>71</v>
      </c>
      <c r="H299" s="9" t="s">
        <v>417</v>
      </c>
      <c r="I299" s="8" t="s">
        <v>19</v>
      </c>
      <c r="J299" s="8" t="s">
        <v>817</v>
      </c>
      <c r="K299" s="10" t="s">
        <v>21</v>
      </c>
      <c r="L299" s="10">
        <v>47915</v>
      </c>
      <c r="M299" s="10">
        <v>46454</v>
      </c>
      <c r="N299" s="13">
        <f>L299-120</f>
        <v>47795</v>
      </c>
      <c r="O299" s="11" t="str">
        <f t="shared" ca="1" si="58"/>
        <v>Válida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34.5" customHeight="1" x14ac:dyDescent="0.25">
      <c r="A300" s="54">
        <v>78</v>
      </c>
      <c r="B300" s="58" t="s">
        <v>818</v>
      </c>
      <c r="C300" s="15">
        <v>2023</v>
      </c>
      <c r="D300" s="8" t="s">
        <v>819</v>
      </c>
      <c r="E300" s="8" t="s">
        <v>820</v>
      </c>
      <c r="F300" s="8" t="s">
        <v>16</v>
      </c>
      <c r="G300" s="8" t="s">
        <v>24</v>
      </c>
      <c r="H300" s="8" t="s">
        <v>417</v>
      </c>
      <c r="I300" s="8" t="s">
        <v>19</v>
      </c>
      <c r="J300" s="8" t="s">
        <v>821</v>
      </c>
      <c r="K300" s="15" t="s">
        <v>21</v>
      </c>
      <c r="L300" s="10">
        <v>47923</v>
      </c>
      <c r="M300" s="13">
        <v>46462</v>
      </c>
      <c r="N300" s="13">
        <v>47803</v>
      </c>
      <c r="O300" s="11" t="s">
        <v>30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34.5" customHeight="1" x14ac:dyDescent="0.25">
      <c r="A301" s="54">
        <v>78</v>
      </c>
      <c r="B301" s="58">
        <v>3235</v>
      </c>
      <c r="C301" s="15">
        <v>2015</v>
      </c>
      <c r="D301" s="8" t="s">
        <v>822</v>
      </c>
      <c r="E301" s="8" t="s">
        <v>823</v>
      </c>
      <c r="F301" s="8" t="s">
        <v>16</v>
      </c>
      <c r="G301" s="8" t="s">
        <v>63</v>
      </c>
      <c r="H301" s="8"/>
      <c r="I301" s="8" t="s">
        <v>824</v>
      </c>
      <c r="J301" s="8"/>
      <c r="K301" s="15" t="s">
        <v>21</v>
      </c>
      <c r="L301" s="10">
        <v>45373</v>
      </c>
      <c r="M301" s="10">
        <v>45253</v>
      </c>
      <c r="N301" s="13">
        <f t="shared" ref="N301:N302" si="59">L301-120</f>
        <v>45253</v>
      </c>
      <c r="O301" s="11" t="s">
        <v>825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34.5" customHeight="1" x14ac:dyDescent="0.25">
      <c r="A302" s="54">
        <v>78</v>
      </c>
      <c r="B302" s="58">
        <v>4776</v>
      </c>
      <c r="C302" s="15">
        <v>2019</v>
      </c>
      <c r="D302" s="8" t="s">
        <v>826</v>
      </c>
      <c r="E302" s="8" t="s">
        <v>827</v>
      </c>
      <c r="F302" s="8" t="s">
        <v>16</v>
      </c>
      <c r="G302" s="8" t="s">
        <v>17</v>
      </c>
      <c r="H302" s="8"/>
      <c r="I302" s="8" t="s">
        <v>112</v>
      </c>
      <c r="J302" s="8"/>
      <c r="K302" s="15" t="s">
        <v>828</v>
      </c>
      <c r="L302" s="10">
        <v>47179</v>
      </c>
      <c r="M302" s="10">
        <v>46448</v>
      </c>
      <c r="N302" s="13">
        <f t="shared" si="59"/>
        <v>47059</v>
      </c>
      <c r="O302" s="11" t="s">
        <v>829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34.5" customHeight="1" x14ac:dyDescent="0.25">
      <c r="A303" s="54">
        <v>78</v>
      </c>
      <c r="B303" s="58">
        <v>4039</v>
      </c>
      <c r="C303" s="15">
        <v>2017</v>
      </c>
      <c r="D303" s="8" t="s">
        <v>830</v>
      </c>
      <c r="E303" s="8" t="s">
        <v>831</v>
      </c>
      <c r="F303" s="8" t="s">
        <v>16</v>
      </c>
      <c r="G303" s="8" t="s">
        <v>63</v>
      </c>
      <c r="H303" s="8"/>
      <c r="I303" s="8" t="s">
        <v>49</v>
      </c>
      <c r="J303" s="8"/>
      <c r="K303" s="15" t="s">
        <v>828</v>
      </c>
      <c r="L303" s="10" t="s">
        <v>832</v>
      </c>
      <c r="M303" s="10" t="s">
        <v>832</v>
      </c>
      <c r="N303" s="10" t="s">
        <v>832</v>
      </c>
      <c r="O303" s="11" t="s">
        <v>385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34.5" customHeight="1" x14ac:dyDescent="0.25">
      <c r="A304" s="54">
        <v>78</v>
      </c>
      <c r="B304" s="58">
        <v>6455</v>
      </c>
      <c r="C304" s="15">
        <v>2022</v>
      </c>
      <c r="D304" s="8" t="s">
        <v>833</v>
      </c>
      <c r="E304" s="8" t="s">
        <v>834</v>
      </c>
      <c r="F304" s="8" t="s">
        <v>16</v>
      </c>
      <c r="G304" s="8" t="s">
        <v>17</v>
      </c>
      <c r="H304" s="8"/>
      <c r="I304" s="8" t="s">
        <v>49</v>
      </c>
      <c r="J304" s="8"/>
      <c r="K304" s="15" t="s">
        <v>828</v>
      </c>
      <c r="L304" s="10" t="s">
        <v>832</v>
      </c>
      <c r="M304" s="10" t="s">
        <v>832</v>
      </c>
      <c r="N304" s="10" t="s">
        <v>832</v>
      </c>
      <c r="O304" s="11" t="s">
        <v>385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34.5" customHeight="1" x14ac:dyDescent="0.25">
      <c r="A305" s="54">
        <v>78</v>
      </c>
      <c r="B305" s="58">
        <v>6299</v>
      </c>
      <c r="C305" s="15">
        <v>2022</v>
      </c>
      <c r="D305" s="8" t="s">
        <v>835</v>
      </c>
      <c r="E305" s="8" t="s">
        <v>836</v>
      </c>
      <c r="F305" s="8" t="s">
        <v>16</v>
      </c>
      <c r="G305" s="8" t="s">
        <v>17</v>
      </c>
      <c r="H305" s="8"/>
      <c r="I305" s="8" t="s">
        <v>49</v>
      </c>
      <c r="J305" s="8"/>
      <c r="K305" s="15" t="s">
        <v>828</v>
      </c>
      <c r="L305" s="10" t="s">
        <v>832</v>
      </c>
      <c r="M305" s="10" t="s">
        <v>832</v>
      </c>
      <c r="N305" s="10" t="s">
        <v>832</v>
      </c>
      <c r="O305" s="11" t="s">
        <v>385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34.5" customHeight="1" x14ac:dyDescent="0.25">
      <c r="A306" s="54">
        <v>78</v>
      </c>
      <c r="B306" s="58">
        <v>4038</v>
      </c>
      <c r="C306" s="15">
        <v>2017</v>
      </c>
      <c r="D306" s="8" t="s">
        <v>837</v>
      </c>
      <c r="E306" s="8" t="s">
        <v>838</v>
      </c>
      <c r="F306" s="8" t="s">
        <v>16</v>
      </c>
      <c r="G306" s="8" t="s">
        <v>17</v>
      </c>
      <c r="H306" s="8"/>
      <c r="I306" s="8" t="s">
        <v>112</v>
      </c>
      <c r="J306" s="8"/>
      <c r="K306" s="15" t="s">
        <v>828</v>
      </c>
      <c r="L306" s="10">
        <v>47096</v>
      </c>
      <c r="M306" s="10">
        <v>46365</v>
      </c>
      <c r="N306" s="13">
        <f t="shared" ref="N306:N309" si="60">L306-120</f>
        <v>46976</v>
      </c>
      <c r="O306" s="11" t="s">
        <v>829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34.5" customHeight="1" x14ac:dyDescent="0.25">
      <c r="A307" s="54">
        <v>79</v>
      </c>
      <c r="B307" s="58">
        <v>6061</v>
      </c>
      <c r="C307" s="15">
        <v>2021</v>
      </c>
      <c r="D307" s="15" t="s">
        <v>839</v>
      </c>
      <c r="E307" s="15" t="s">
        <v>840</v>
      </c>
      <c r="F307" s="15" t="s">
        <v>16</v>
      </c>
      <c r="G307" s="8" t="s">
        <v>432</v>
      </c>
      <c r="H307" s="8" t="s">
        <v>417</v>
      </c>
      <c r="I307" s="15" t="s">
        <v>19</v>
      </c>
      <c r="J307" s="8" t="s">
        <v>841</v>
      </c>
      <c r="K307" s="15" t="s">
        <v>21</v>
      </c>
      <c r="L307" s="14">
        <v>45647</v>
      </c>
      <c r="M307" s="14">
        <v>45527</v>
      </c>
      <c r="N307" s="13">
        <f t="shared" si="60"/>
        <v>45527</v>
      </c>
      <c r="O307" s="11" t="str">
        <f t="shared" ref="O307:O309" ca="1" si="61">IF(L307&gt;TODAY(),"Válida",IF(ISBLANK(L307),"Andamento",IF(L307&lt;TODAY(),"Vencida",IF(L307-TODAY()&lt;90,"URGENTE",IF(L307-TODAY()&lt;150,"RENOVAÇÃO",)))))</f>
        <v>Vencida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34.5" customHeight="1" x14ac:dyDescent="0.25">
      <c r="A308" s="54">
        <v>80</v>
      </c>
      <c r="B308" s="58">
        <v>4862</v>
      </c>
      <c r="C308" s="15">
        <v>2019</v>
      </c>
      <c r="D308" s="15" t="s">
        <v>842</v>
      </c>
      <c r="E308" s="8" t="s">
        <v>843</v>
      </c>
      <c r="F308" s="8" t="s">
        <v>16</v>
      </c>
      <c r="G308" s="8" t="s">
        <v>383</v>
      </c>
      <c r="H308" s="8" t="s">
        <v>417</v>
      </c>
      <c r="I308" s="8" t="s">
        <v>19</v>
      </c>
      <c r="J308" s="8" t="s">
        <v>844</v>
      </c>
      <c r="K308" s="15" t="s">
        <v>21</v>
      </c>
      <c r="L308" s="10">
        <v>45611</v>
      </c>
      <c r="M308" s="10">
        <v>45491</v>
      </c>
      <c r="N308" s="13">
        <f t="shared" si="60"/>
        <v>45491</v>
      </c>
      <c r="O308" s="11" t="str">
        <f t="shared" ca="1" si="61"/>
        <v>Vencida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34.5" customHeight="1" x14ac:dyDescent="0.25">
      <c r="A309" s="54">
        <v>80</v>
      </c>
      <c r="B309" s="58">
        <v>4862</v>
      </c>
      <c r="C309" s="15">
        <v>2019</v>
      </c>
      <c r="D309" s="15" t="s">
        <v>842</v>
      </c>
      <c r="E309" s="8" t="s">
        <v>843</v>
      </c>
      <c r="F309" s="8" t="s">
        <v>16</v>
      </c>
      <c r="G309" s="8" t="s">
        <v>383</v>
      </c>
      <c r="H309" s="8" t="s">
        <v>417</v>
      </c>
      <c r="I309" s="8" t="s">
        <v>599</v>
      </c>
      <c r="J309" s="8" t="s">
        <v>844</v>
      </c>
      <c r="K309" s="15" t="s">
        <v>21</v>
      </c>
      <c r="L309" s="14">
        <v>45953</v>
      </c>
      <c r="M309" s="14">
        <v>45833</v>
      </c>
      <c r="N309" s="13">
        <f t="shared" si="60"/>
        <v>45833</v>
      </c>
      <c r="O309" s="11" t="str">
        <f t="shared" ca="1" si="61"/>
        <v>Vencida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34.5" customHeight="1" x14ac:dyDescent="0.25">
      <c r="A310" s="54">
        <v>80</v>
      </c>
      <c r="B310" s="58">
        <v>6195</v>
      </c>
      <c r="C310" s="15">
        <v>2021</v>
      </c>
      <c r="D310" s="15" t="s">
        <v>845</v>
      </c>
      <c r="E310" s="8" t="s">
        <v>843</v>
      </c>
      <c r="F310" s="8" t="s">
        <v>16</v>
      </c>
      <c r="G310" s="8" t="s">
        <v>383</v>
      </c>
      <c r="H310" s="8" t="s">
        <v>417</v>
      </c>
      <c r="I310" s="8" t="s">
        <v>19</v>
      </c>
      <c r="J310" s="8" t="s">
        <v>846</v>
      </c>
      <c r="K310" s="15" t="s">
        <v>21</v>
      </c>
      <c r="L310" s="14">
        <v>45608</v>
      </c>
      <c r="M310" s="14">
        <v>45485</v>
      </c>
      <c r="N310" s="13">
        <v>45485</v>
      </c>
      <c r="O310" s="11" t="s">
        <v>30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34.5" customHeight="1" x14ac:dyDescent="0.25">
      <c r="A311" s="54">
        <v>81</v>
      </c>
      <c r="B311" s="55" t="s">
        <v>1785</v>
      </c>
      <c r="C311" s="8">
        <v>2026</v>
      </c>
      <c r="D311" s="8" t="s">
        <v>848</v>
      </c>
      <c r="E311" s="8" t="s">
        <v>849</v>
      </c>
      <c r="F311" s="8" t="s">
        <v>850</v>
      </c>
      <c r="G311" s="8" t="s">
        <v>67</v>
      </c>
      <c r="H311" s="9" t="s">
        <v>417</v>
      </c>
      <c r="I311" s="8" t="s">
        <v>19</v>
      </c>
      <c r="J311" s="8" t="s">
        <v>851</v>
      </c>
      <c r="K311" s="10" t="s">
        <v>21</v>
      </c>
      <c r="L311" s="10">
        <v>46430</v>
      </c>
      <c r="M311" s="10">
        <v>46399</v>
      </c>
      <c r="N311" s="13">
        <v>46399</v>
      </c>
      <c r="O311" s="11" t="str">
        <f t="shared" ref="O311:O320" ca="1" si="62">IF(L311&gt;TODAY(),"Válida",IF(ISBLANK(L311),"Andamento",IF(L311&lt;TODAY(),"Vencida",IF(L311-TODAY()&lt;90,"URGENTE",IF(L311-TODAY()&lt;150,"RENOVAÇÃO",)))))</f>
        <v>Válida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34.5" customHeight="1" x14ac:dyDescent="0.25">
      <c r="A312" s="54">
        <v>81</v>
      </c>
      <c r="B312" s="55" t="s">
        <v>852</v>
      </c>
      <c r="C312" s="8">
        <v>2025</v>
      </c>
      <c r="D312" s="8" t="s">
        <v>848</v>
      </c>
      <c r="E312" s="8" t="s">
        <v>853</v>
      </c>
      <c r="F312" s="8" t="s">
        <v>850</v>
      </c>
      <c r="G312" s="8" t="s">
        <v>67</v>
      </c>
      <c r="H312" s="8" t="s">
        <v>417</v>
      </c>
      <c r="I312" s="8" t="s">
        <v>19</v>
      </c>
      <c r="J312" s="8" t="s">
        <v>854</v>
      </c>
      <c r="K312" s="10" t="s">
        <v>21</v>
      </c>
      <c r="L312" s="10">
        <v>46252</v>
      </c>
      <c r="M312" s="10">
        <v>46132</v>
      </c>
      <c r="N312" s="13">
        <f t="shared" ref="N312:N322" si="63">L312-120</f>
        <v>46132</v>
      </c>
      <c r="O312" s="11" t="str">
        <f t="shared" ca="1" si="62"/>
        <v>Válida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34.5" customHeight="1" x14ac:dyDescent="0.25">
      <c r="A313" s="54">
        <v>81</v>
      </c>
      <c r="B313" s="55" t="s">
        <v>852</v>
      </c>
      <c r="C313" s="23">
        <v>2025</v>
      </c>
      <c r="D313" s="23" t="s">
        <v>848</v>
      </c>
      <c r="E313" s="23" t="s">
        <v>855</v>
      </c>
      <c r="F313" s="23" t="s">
        <v>850</v>
      </c>
      <c r="G313" s="23" t="s">
        <v>67</v>
      </c>
      <c r="H313" s="23" t="s">
        <v>417</v>
      </c>
      <c r="I313" s="23" t="s">
        <v>19</v>
      </c>
      <c r="J313" s="23" t="s">
        <v>856</v>
      </c>
      <c r="K313" s="25" t="s">
        <v>21</v>
      </c>
      <c r="L313" s="25">
        <v>45291</v>
      </c>
      <c r="M313" s="25">
        <v>45171</v>
      </c>
      <c r="N313" s="40">
        <f t="shared" si="63"/>
        <v>45171</v>
      </c>
      <c r="O313" s="26" t="str">
        <f t="shared" ca="1" si="62"/>
        <v>Vencida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34.5" customHeight="1" x14ac:dyDescent="0.25">
      <c r="A314" s="54">
        <v>81</v>
      </c>
      <c r="B314" s="55" t="s">
        <v>847</v>
      </c>
      <c r="C314" s="8">
        <v>2024</v>
      </c>
      <c r="D314" s="8" t="s">
        <v>848</v>
      </c>
      <c r="E314" s="8" t="s">
        <v>857</v>
      </c>
      <c r="F314" s="8" t="s">
        <v>850</v>
      </c>
      <c r="G314" s="8" t="s">
        <v>67</v>
      </c>
      <c r="H314" s="8" t="s">
        <v>417</v>
      </c>
      <c r="I314" s="8" t="s">
        <v>599</v>
      </c>
      <c r="J314" s="8" t="s">
        <v>854</v>
      </c>
      <c r="K314" s="10" t="s">
        <v>21</v>
      </c>
      <c r="L314" s="10">
        <v>46867</v>
      </c>
      <c r="M314" s="10">
        <v>46747</v>
      </c>
      <c r="N314" s="13">
        <f t="shared" si="63"/>
        <v>46747</v>
      </c>
      <c r="O314" s="11" t="str">
        <f t="shared" ca="1" si="62"/>
        <v>Válida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34.5" customHeight="1" x14ac:dyDescent="0.25">
      <c r="A315" s="54">
        <v>82</v>
      </c>
      <c r="B315" s="55">
        <v>5910</v>
      </c>
      <c r="C315" s="21">
        <v>2021</v>
      </c>
      <c r="D315" s="8" t="s">
        <v>483</v>
      </c>
      <c r="E315" s="8" t="s">
        <v>484</v>
      </c>
      <c r="F315" s="8" t="s">
        <v>16</v>
      </c>
      <c r="G315" s="8" t="s">
        <v>485</v>
      </c>
      <c r="H315" s="8" t="s">
        <v>417</v>
      </c>
      <c r="I315" s="8" t="s">
        <v>858</v>
      </c>
      <c r="J315" s="8" t="s">
        <v>859</v>
      </c>
      <c r="K315" s="10" t="s">
        <v>21</v>
      </c>
      <c r="L315" s="10">
        <v>45624</v>
      </c>
      <c r="M315" s="10">
        <v>45504</v>
      </c>
      <c r="N315" s="13">
        <f t="shared" si="63"/>
        <v>45504</v>
      </c>
      <c r="O315" s="11" t="str">
        <f t="shared" ca="1" si="62"/>
        <v>Vencida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34.5" customHeight="1" x14ac:dyDescent="0.25">
      <c r="A316" s="54">
        <v>82</v>
      </c>
      <c r="B316" s="55">
        <v>5910</v>
      </c>
      <c r="C316" s="21">
        <v>2021</v>
      </c>
      <c r="D316" s="8" t="s">
        <v>483</v>
      </c>
      <c r="E316" s="8" t="s">
        <v>484</v>
      </c>
      <c r="F316" s="8" t="s">
        <v>16</v>
      </c>
      <c r="G316" s="8" t="s">
        <v>485</v>
      </c>
      <c r="H316" s="8" t="s">
        <v>417</v>
      </c>
      <c r="I316" s="8" t="s">
        <v>599</v>
      </c>
      <c r="J316" s="8" t="s">
        <v>859</v>
      </c>
      <c r="K316" s="10" t="s">
        <v>21</v>
      </c>
      <c r="L316" s="10">
        <v>46605</v>
      </c>
      <c r="M316" s="10">
        <v>46485</v>
      </c>
      <c r="N316" s="13">
        <f t="shared" si="63"/>
        <v>46485</v>
      </c>
      <c r="O316" s="11" t="str">
        <f t="shared" ca="1" si="62"/>
        <v>Válida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34.5" customHeight="1" x14ac:dyDescent="0.25">
      <c r="A317" s="54">
        <v>83</v>
      </c>
      <c r="B317" s="55" t="s">
        <v>1765</v>
      </c>
      <c r="C317" s="21">
        <v>2021</v>
      </c>
      <c r="D317" s="8" t="s">
        <v>860</v>
      </c>
      <c r="E317" s="8" t="s">
        <v>861</v>
      </c>
      <c r="F317" s="8" t="s">
        <v>16</v>
      </c>
      <c r="G317" s="8" t="s">
        <v>17</v>
      </c>
      <c r="H317" s="8" t="s">
        <v>417</v>
      </c>
      <c r="I317" s="8" t="s">
        <v>19</v>
      </c>
      <c r="J317" s="8" t="s">
        <v>859</v>
      </c>
      <c r="K317" s="8" t="s">
        <v>21</v>
      </c>
      <c r="L317" s="10">
        <v>46417</v>
      </c>
      <c r="M317" s="10">
        <v>46295</v>
      </c>
      <c r="N317" s="13">
        <v>46295</v>
      </c>
      <c r="O317" s="11" t="str">
        <f t="shared" ca="1" si="62"/>
        <v>Válida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34.5" customHeight="1" x14ac:dyDescent="0.25">
      <c r="A318" s="54">
        <v>83</v>
      </c>
      <c r="B318" s="55" t="s">
        <v>1765</v>
      </c>
      <c r="C318" s="21">
        <v>2021</v>
      </c>
      <c r="D318" s="8" t="s">
        <v>860</v>
      </c>
      <c r="E318" s="8" t="s">
        <v>862</v>
      </c>
      <c r="F318" s="8" t="s">
        <v>16</v>
      </c>
      <c r="G318" s="8" t="s">
        <v>17</v>
      </c>
      <c r="H318" s="8" t="s">
        <v>863</v>
      </c>
      <c r="I318" s="8" t="s">
        <v>599</v>
      </c>
      <c r="J318" s="8" t="s">
        <v>859</v>
      </c>
      <c r="K318" s="8" t="s">
        <v>21</v>
      </c>
      <c r="L318" s="10">
        <v>46698</v>
      </c>
      <c r="M318" s="10">
        <v>46578</v>
      </c>
      <c r="N318" s="13">
        <f t="shared" si="63"/>
        <v>46578</v>
      </c>
      <c r="O318" s="11" t="str">
        <f t="shared" ca="1" si="62"/>
        <v>Válida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34.5" customHeight="1" x14ac:dyDescent="0.25">
      <c r="A319" s="54">
        <v>84</v>
      </c>
      <c r="B319" s="55">
        <v>316</v>
      </c>
      <c r="C319" s="21">
        <v>2021</v>
      </c>
      <c r="D319" s="8" t="s">
        <v>864</v>
      </c>
      <c r="E319" s="8" t="s">
        <v>865</v>
      </c>
      <c r="F319" s="8" t="s">
        <v>193</v>
      </c>
      <c r="G319" s="8" t="s">
        <v>763</v>
      </c>
      <c r="H319" s="8" t="s">
        <v>417</v>
      </c>
      <c r="I319" s="8" t="s">
        <v>19</v>
      </c>
      <c r="J319" s="8" t="s">
        <v>710</v>
      </c>
      <c r="K319" s="10" t="s">
        <v>21</v>
      </c>
      <c r="L319" s="10">
        <v>46012</v>
      </c>
      <c r="M319" s="10">
        <v>45892</v>
      </c>
      <c r="N319" s="13">
        <f t="shared" si="63"/>
        <v>45892</v>
      </c>
      <c r="O319" s="11" t="str">
        <f t="shared" ca="1" si="62"/>
        <v>Vencida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34.5" customHeight="1" x14ac:dyDescent="0.25">
      <c r="A320" s="54">
        <v>85</v>
      </c>
      <c r="B320" s="55">
        <v>1357</v>
      </c>
      <c r="C320" s="21">
        <v>2007</v>
      </c>
      <c r="D320" s="8" t="s">
        <v>866</v>
      </c>
      <c r="E320" s="8" t="s">
        <v>766</v>
      </c>
      <c r="F320" s="8" t="s">
        <v>16</v>
      </c>
      <c r="G320" s="8" t="s">
        <v>432</v>
      </c>
      <c r="H320" s="8" t="s">
        <v>417</v>
      </c>
      <c r="I320" s="8" t="s">
        <v>19</v>
      </c>
      <c r="J320" s="8" t="s">
        <v>545</v>
      </c>
      <c r="K320" s="10" t="s">
        <v>21</v>
      </c>
      <c r="L320" s="10">
        <v>46149</v>
      </c>
      <c r="M320" s="10">
        <v>46029</v>
      </c>
      <c r="N320" s="13">
        <f t="shared" si="63"/>
        <v>46029</v>
      </c>
      <c r="O320" s="11" t="str">
        <f t="shared" ca="1" si="62"/>
        <v>Válida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34.5" customHeight="1" x14ac:dyDescent="0.25">
      <c r="A321" s="54">
        <v>86</v>
      </c>
      <c r="B321" s="55">
        <v>82</v>
      </c>
      <c r="C321" s="8">
        <v>2023</v>
      </c>
      <c r="D321" s="8" t="s">
        <v>867</v>
      </c>
      <c r="E321" s="8" t="s">
        <v>868</v>
      </c>
      <c r="F321" s="8" t="s">
        <v>482</v>
      </c>
      <c r="G321" s="8" t="s">
        <v>432</v>
      </c>
      <c r="H321" s="8" t="s">
        <v>417</v>
      </c>
      <c r="I321" s="8" t="s">
        <v>19</v>
      </c>
      <c r="J321" s="8" t="s">
        <v>869</v>
      </c>
      <c r="K321" s="10" t="s">
        <v>21</v>
      </c>
      <c r="L321" s="10">
        <v>46615</v>
      </c>
      <c r="M321" s="10">
        <v>45505</v>
      </c>
      <c r="N321" s="13">
        <f t="shared" si="63"/>
        <v>46495</v>
      </c>
      <c r="O321" s="11" t="s">
        <v>30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34.5" customHeight="1" x14ac:dyDescent="0.25">
      <c r="A322" s="54">
        <v>87</v>
      </c>
      <c r="B322" s="55">
        <v>48768</v>
      </c>
      <c r="C322" s="8">
        <v>2023</v>
      </c>
      <c r="D322" s="8" t="s">
        <v>637</v>
      </c>
      <c r="E322" s="8" t="s">
        <v>638</v>
      </c>
      <c r="F322" s="8" t="s">
        <v>16</v>
      </c>
      <c r="G322" s="8" t="s">
        <v>639</v>
      </c>
      <c r="H322" s="8"/>
      <c r="I322" s="8" t="s">
        <v>19</v>
      </c>
      <c r="J322" s="8"/>
      <c r="K322" s="10" t="s">
        <v>262</v>
      </c>
      <c r="L322" s="10">
        <v>46850</v>
      </c>
      <c r="M322" s="10">
        <v>46113</v>
      </c>
      <c r="N322" s="13">
        <f t="shared" si="63"/>
        <v>46730</v>
      </c>
      <c r="O322" s="11" t="s">
        <v>30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34.5" customHeight="1" x14ac:dyDescent="0.25">
      <c r="A323" s="54">
        <v>87</v>
      </c>
      <c r="B323" s="55">
        <v>16841</v>
      </c>
      <c r="C323" s="8">
        <v>2023</v>
      </c>
      <c r="D323" s="8" t="s">
        <v>870</v>
      </c>
      <c r="E323" s="8" t="s">
        <v>638</v>
      </c>
      <c r="F323" s="8" t="s">
        <v>16</v>
      </c>
      <c r="G323" s="8" t="s">
        <v>639</v>
      </c>
      <c r="H323" s="8"/>
      <c r="I323" s="8" t="s">
        <v>19</v>
      </c>
      <c r="J323" s="8"/>
      <c r="K323" s="10" t="s">
        <v>262</v>
      </c>
      <c r="L323" s="10">
        <v>45563</v>
      </c>
      <c r="M323" s="10">
        <v>45536</v>
      </c>
      <c r="N323" s="13">
        <v>45440</v>
      </c>
      <c r="O323" s="11" t="s">
        <v>136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34.5" customHeight="1" x14ac:dyDescent="0.25">
      <c r="A324" s="54">
        <v>88</v>
      </c>
      <c r="B324" s="55">
        <v>3221</v>
      </c>
      <c r="C324" s="59">
        <v>2015</v>
      </c>
      <c r="D324" s="23" t="s">
        <v>871</v>
      </c>
      <c r="E324" s="23" t="s">
        <v>872</v>
      </c>
      <c r="F324" s="23" t="s">
        <v>16</v>
      </c>
      <c r="G324" s="23" t="s">
        <v>17</v>
      </c>
      <c r="H324" s="23" t="s">
        <v>417</v>
      </c>
      <c r="I324" s="23" t="s">
        <v>19</v>
      </c>
      <c r="J324" s="23" t="s">
        <v>873</v>
      </c>
      <c r="K324" s="25" t="s">
        <v>21</v>
      </c>
      <c r="L324" s="25">
        <v>45611</v>
      </c>
      <c r="M324" s="25">
        <v>45491</v>
      </c>
      <c r="N324" s="40">
        <f t="shared" ref="N324:N327" si="64">L324-120</f>
        <v>45491</v>
      </c>
      <c r="O324" s="26" t="str">
        <f t="shared" ref="O324:O328" ca="1" si="65">IF(L324&gt;TODAY(),"Válida",IF(ISBLANK(L324),"Andamento",IF(L324&lt;TODAY(),"Vencida",IF(L324-TODAY()&lt;90,"URGENTE",IF(L324-TODAY()&lt;150,"RENOVAÇÃO",)))))</f>
        <v>Vencida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34.5" customHeight="1" x14ac:dyDescent="0.25">
      <c r="A325" s="54">
        <v>88</v>
      </c>
      <c r="B325" s="55">
        <v>3221</v>
      </c>
      <c r="C325" s="8">
        <v>2015</v>
      </c>
      <c r="D325" s="8" t="s">
        <v>871</v>
      </c>
      <c r="E325" s="8" t="s">
        <v>872</v>
      </c>
      <c r="F325" s="8" t="s">
        <v>16</v>
      </c>
      <c r="G325" s="8" t="s">
        <v>17</v>
      </c>
      <c r="H325" s="8" t="s">
        <v>417</v>
      </c>
      <c r="I325" s="8" t="s">
        <v>599</v>
      </c>
      <c r="J325" s="8" t="s">
        <v>873</v>
      </c>
      <c r="K325" s="10" t="s">
        <v>21</v>
      </c>
      <c r="L325" s="10">
        <v>46708</v>
      </c>
      <c r="M325" s="10">
        <v>46588</v>
      </c>
      <c r="N325" s="13">
        <f t="shared" si="64"/>
        <v>46588</v>
      </c>
      <c r="O325" s="11" t="str">
        <f t="shared" ca="1" si="65"/>
        <v>Válida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34.5" customHeight="1" x14ac:dyDescent="0.25">
      <c r="A326" s="54">
        <v>88</v>
      </c>
      <c r="B326" s="55">
        <v>229</v>
      </c>
      <c r="C326" s="8">
        <v>2003</v>
      </c>
      <c r="D326" s="8" t="s">
        <v>871</v>
      </c>
      <c r="E326" s="21" t="s">
        <v>872</v>
      </c>
      <c r="F326" s="8" t="s">
        <v>16</v>
      </c>
      <c r="G326" s="8" t="s">
        <v>17</v>
      </c>
      <c r="H326" s="8" t="s">
        <v>417</v>
      </c>
      <c r="I326" s="8" t="s">
        <v>19</v>
      </c>
      <c r="J326" s="8" t="s">
        <v>874</v>
      </c>
      <c r="K326" s="10" t="s">
        <v>21</v>
      </c>
      <c r="L326" s="10">
        <v>46359</v>
      </c>
      <c r="M326" s="10">
        <v>46239</v>
      </c>
      <c r="N326" s="13">
        <f t="shared" si="64"/>
        <v>46239</v>
      </c>
      <c r="O326" s="11" t="str">
        <f t="shared" ca="1" si="65"/>
        <v>Válida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34.5" customHeight="1" x14ac:dyDescent="0.25">
      <c r="A327" s="54">
        <v>89</v>
      </c>
      <c r="B327" s="55">
        <v>10</v>
      </c>
      <c r="C327" s="8">
        <v>2025</v>
      </c>
      <c r="D327" s="8" t="s">
        <v>875</v>
      </c>
      <c r="E327" s="21" t="s">
        <v>876</v>
      </c>
      <c r="F327" s="8" t="s">
        <v>877</v>
      </c>
      <c r="G327" s="8" t="s">
        <v>58</v>
      </c>
      <c r="H327" s="8"/>
      <c r="I327" s="8" t="s">
        <v>112</v>
      </c>
      <c r="J327" s="8"/>
      <c r="K327" s="10" t="s">
        <v>878</v>
      </c>
      <c r="L327" s="10">
        <v>46392</v>
      </c>
      <c r="M327" s="10">
        <v>46272</v>
      </c>
      <c r="N327" s="13">
        <f t="shared" si="64"/>
        <v>46272</v>
      </c>
      <c r="O327" s="11" t="str">
        <f t="shared" ca="1" si="65"/>
        <v>Válida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34.5" customHeight="1" x14ac:dyDescent="0.25">
      <c r="A328" s="54">
        <v>90</v>
      </c>
      <c r="B328" s="56" t="s">
        <v>881</v>
      </c>
      <c r="C328" s="9">
        <v>2025</v>
      </c>
      <c r="D328" s="8" t="s">
        <v>882</v>
      </c>
      <c r="E328" s="8" t="s">
        <v>1301</v>
      </c>
      <c r="F328" s="9" t="s">
        <v>16</v>
      </c>
      <c r="G328" s="9" t="s">
        <v>142</v>
      </c>
      <c r="H328" s="8" t="s">
        <v>417</v>
      </c>
      <c r="I328" s="8" t="s">
        <v>599</v>
      </c>
      <c r="J328" s="9" t="s">
        <v>859</v>
      </c>
      <c r="K328" s="13" t="s">
        <v>21</v>
      </c>
      <c r="L328" s="13">
        <v>46544</v>
      </c>
      <c r="M328" s="13">
        <v>46424</v>
      </c>
      <c r="N328" s="13">
        <v>46424</v>
      </c>
      <c r="O328" s="11" t="str">
        <f t="shared" ca="1" si="65"/>
        <v>Válida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34.5" customHeight="1" x14ac:dyDescent="0.25">
      <c r="A329" s="54">
        <v>90</v>
      </c>
      <c r="B329" s="56" t="s">
        <v>881</v>
      </c>
      <c r="C329" s="24">
        <v>2025</v>
      </c>
      <c r="D329" s="23" t="s">
        <v>882</v>
      </c>
      <c r="E329" s="23" t="s">
        <v>1845</v>
      </c>
      <c r="F329" s="24" t="s">
        <v>16</v>
      </c>
      <c r="G329" s="24" t="s">
        <v>142</v>
      </c>
      <c r="H329" s="23"/>
      <c r="I329" s="23" t="s">
        <v>19</v>
      </c>
      <c r="J329" s="24"/>
      <c r="K329" s="40" t="s">
        <v>21</v>
      </c>
      <c r="L329" s="40"/>
      <c r="M329" s="40"/>
      <c r="N329" s="40"/>
      <c r="O329" s="26" t="s">
        <v>560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34.5" customHeight="1" x14ac:dyDescent="0.25">
      <c r="A330" s="54">
        <v>91</v>
      </c>
      <c r="B330" s="56">
        <v>26</v>
      </c>
      <c r="C330" s="9">
        <v>2022</v>
      </c>
      <c r="D330" s="9" t="s">
        <v>883</v>
      </c>
      <c r="E330" s="9" t="s">
        <v>884</v>
      </c>
      <c r="F330" s="9" t="s">
        <v>193</v>
      </c>
      <c r="G330" s="9" t="s">
        <v>885</v>
      </c>
      <c r="H330" s="8"/>
      <c r="I330" s="9" t="s">
        <v>19</v>
      </c>
      <c r="J330" s="9"/>
      <c r="K330" s="13" t="s">
        <v>21</v>
      </c>
      <c r="L330" s="13">
        <v>46076</v>
      </c>
      <c r="M330" s="13">
        <v>45956</v>
      </c>
      <c r="N330" s="13">
        <f t="shared" ref="N330:N334" si="66">L330-120</f>
        <v>45956</v>
      </c>
      <c r="O330" s="11" t="str">
        <f t="shared" ref="O330:O333" ca="1" si="67">IF(L330&gt;TODAY(),"Válida",IF(ISBLANK(L330),"Andamento",IF(L330&lt;TODAY(),"Vencida",IF(L330-TODAY()&lt;90,"URGENTE",IF(L330-TODAY()&lt;150,"RENOVAÇÃO",)))))</f>
        <v>Vencida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34.5" customHeight="1" x14ac:dyDescent="0.25">
      <c r="A331" s="54">
        <v>92</v>
      </c>
      <c r="B331" s="55" t="s">
        <v>886</v>
      </c>
      <c r="C331" s="8">
        <v>2024</v>
      </c>
      <c r="D331" s="8" t="s">
        <v>882</v>
      </c>
      <c r="E331" s="8" t="s">
        <v>1300</v>
      </c>
      <c r="F331" s="8" t="s">
        <v>16</v>
      </c>
      <c r="G331" s="8" t="s">
        <v>17</v>
      </c>
      <c r="H331" s="8" t="s">
        <v>417</v>
      </c>
      <c r="I331" s="8" t="s">
        <v>19</v>
      </c>
      <c r="J331" s="8" t="s">
        <v>859</v>
      </c>
      <c r="K331" s="8" t="s">
        <v>21</v>
      </c>
      <c r="L331" s="10">
        <v>45986</v>
      </c>
      <c r="M331" s="10">
        <v>45866</v>
      </c>
      <c r="N331" s="13">
        <f t="shared" si="66"/>
        <v>45866</v>
      </c>
      <c r="O331" s="11" t="str">
        <f t="shared" ca="1" si="67"/>
        <v>Vencida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34.5" customHeight="1" x14ac:dyDescent="0.25">
      <c r="A332" s="54">
        <v>92</v>
      </c>
      <c r="B332" s="55" t="s">
        <v>886</v>
      </c>
      <c r="C332" s="8">
        <v>2024</v>
      </c>
      <c r="D332" s="8" t="s">
        <v>882</v>
      </c>
      <c r="E332" s="8" t="s">
        <v>1300</v>
      </c>
      <c r="F332" s="8" t="s">
        <v>16</v>
      </c>
      <c r="G332" s="8" t="s">
        <v>17</v>
      </c>
      <c r="H332" s="8" t="s">
        <v>417</v>
      </c>
      <c r="I332" s="8" t="s">
        <v>599</v>
      </c>
      <c r="J332" s="8" t="s">
        <v>859</v>
      </c>
      <c r="K332" s="10" t="s">
        <v>21</v>
      </c>
      <c r="L332" s="10">
        <v>46570</v>
      </c>
      <c r="M332" s="10">
        <v>46450</v>
      </c>
      <c r="N332" s="13">
        <f t="shared" si="66"/>
        <v>46450</v>
      </c>
      <c r="O332" s="11" t="str">
        <f t="shared" ca="1" si="67"/>
        <v>Válida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34.5" customHeight="1" x14ac:dyDescent="0.25">
      <c r="A333" s="54">
        <v>93</v>
      </c>
      <c r="B333" s="55" t="s">
        <v>1843</v>
      </c>
      <c r="C333" s="8">
        <v>2024</v>
      </c>
      <c r="D333" s="8" t="s">
        <v>882</v>
      </c>
      <c r="E333" s="8" t="s">
        <v>1844</v>
      </c>
      <c r="F333" s="8" t="s">
        <v>16</v>
      </c>
      <c r="G333" s="8" t="s">
        <v>17</v>
      </c>
      <c r="H333" s="8" t="s">
        <v>417</v>
      </c>
      <c r="I333" s="8" t="s">
        <v>19</v>
      </c>
      <c r="J333" s="8" t="s">
        <v>887</v>
      </c>
      <c r="K333" s="10" t="s">
        <v>21</v>
      </c>
      <c r="L333" s="10">
        <v>47933</v>
      </c>
      <c r="M333" s="10">
        <v>46469</v>
      </c>
      <c r="N333" s="13">
        <f t="shared" si="66"/>
        <v>47813</v>
      </c>
      <c r="O333" s="11" t="str">
        <f t="shared" ca="1" si="67"/>
        <v>Válida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34.5" customHeight="1" x14ac:dyDescent="0.25">
      <c r="A334" s="54">
        <v>94</v>
      </c>
      <c r="B334" s="55">
        <v>7513</v>
      </c>
      <c r="C334" s="8">
        <v>2023</v>
      </c>
      <c r="D334" s="8" t="s">
        <v>888</v>
      </c>
      <c r="E334" s="8" t="s">
        <v>889</v>
      </c>
      <c r="F334" s="8" t="s">
        <v>16</v>
      </c>
      <c r="G334" s="8" t="s">
        <v>142</v>
      </c>
      <c r="H334" s="8"/>
      <c r="I334" s="8" t="s">
        <v>112</v>
      </c>
      <c r="J334" s="8"/>
      <c r="K334" s="10" t="s">
        <v>21</v>
      </c>
      <c r="L334" s="10">
        <v>45708</v>
      </c>
      <c r="M334" s="64">
        <v>45595</v>
      </c>
      <c r="N334" s="13">
        <f t="shared" si="66"/>
        <v>45588</v>
      </c>
      <c r="O334" s="11" t="s">
        <v>30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34.5" customHeight="1" x14ac:dyDescent="0.25">
      <c r="A335" s="54">
        <v>95</v>
      </c>
      <c r="B335" s="57">
        <v>11714</v>
      </c>
      <c r="C335" s="8">
        <v>2023</v>
      </c>
      <c r="D335" s="15" t="s">
        <v>890</v>
      </c>
      <c r="E335" s="15" t="s">
        <v>891</v>
      </c>
      <c r="F335" s="15" t="s">
        <v>216</v>
      </c>
      <c r="G335" s="15" t="s">
        <v>892</v>
      </c>
      <c r="H335" s="8"/>
      <c r="I335" s="8" t="s">
        <v>19</v>
      </c>
      <c r="J335" s="8"/>
      <c r="K335" s="10" t="s">
        <v>262</v>
      </c>
      <c r="L335" s="10">
        <v>46539</v>
      </c>
      <c r="M335" s="10">
        <v>46174</v>
      </c>
      <c r="N335" s="10">
        <v>46419</v>
      </c>
      <c r="O335" s="11" t="s">
        <v>30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34.5" customHeight="1" x14ac:dyDescent="0.25">
      <c r="A336" s="54">
        <v>96</v>
      </c>
      <c r="B336" s="55" t="s">
        <v>893</v>
      </c>
      <c r="C336" s="8">
        <v>2025</v>
      </c>
      <c r="D336" s="8" t="s">
        <v>894</v>
      </c>
      <c r="E336" s="8" t="s">
        <v>895</v>
      </c>
      <c r="F336" s="8" t="s">
        <v>16</v>
      </c>
      <c r="G336" s="8" t="s">
        <v>544</v>
      </c>
      <c r="H336" s="8" t="s">
        <v>417</v>
      </c>
      <c r="I336" s="8" t="s">
        <v>19</v>
      </c>
      <c r="J336" s="8" t="s">
        <v>896</v>
      </c>
      <c r="K336" s="8" t="s">
        <v>21</v>
      </c>
      <c r="L336" s="10">
        <v>46227</v>
      </c>
      <c r="M336" s="10">
        <v>46107</v>
      </c>
      <c r="N336" s="13">
        <f t="shared" ref="N336:N338" si="68">L336-120</f>
        <v>46107</v>
      </c>
      <c r="O336" s="11" t="str">
        <f t="shared" ref="O336:O338" ca="1" si="69">IF(L336&gt;TODAY(),"Válida",IF(ISBLANK(L336),"Andamento",IF(L336&lt;TODAY(),"Vencida",IF(L336-TODAY()&lt;90,"URGENTE",IF(L336-TODAY()&lt;150,"RENOVAÇÃO",)))))</f>
        <v>Válida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34.5" customHeight="1" x14ac:dyDescent="0.25">
      <c r="A337" s="54">
        <v>96</v>
      </c>
      <c r="B337" s="55" t="s">
        <v>893</v>
      </c>
      <c r="C337" s="8">
        <v>2025</v>
      </c>
      <c r="D337" s="8" t="s">
        <v>894</v>
      </c>
      <c r="E337" s="8" t="s">
        <v>895</v>
      </c>
      <c r="F337" s="8" t="s">
        <v>16</v>
      </c>
      <c r="G337" s="8" t="s">
        <v>544</v>
      </c>
      <c r="H337" s="8" t="s">
        <v>417</v>
      </c>
      <c r="I337" s="8" t="s">
        <v>599</v>
      </c>
      <c r="J337" s="8" t="s">
        <v>896</v>
      </c>
      <c r="K337" s="10" t="s">
        <v>21</v>
      </c>
      <c r="L337" s="10">
        <v>46577</v>
      </c>
      <c r="M337" s="10">
        <v>46457</v>
      </c>
      <c r="N337" s="13">
        <f t="shared" si="68"/>
        <v>46457</v>
      </c>
      <c r="O337" s="11" t="str">
        <f t="shared" ca="1" si="69"/>
        <v>Válida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34.5" customHeight="1" x14ac:dyDescent="0.25">
      <c r="A338" s="54">
        <v>97</v>
      </c>
      <c r="B338" s="55">
        <v>46</v>
      </c>
      <c r="C338" s="8">
        <v>2022</v>
      </c>
      <c r="D338" s="8" t="s">
        <v>897</v>
      </c>
      <c r="E338" s="8" t="s">
        <v>898</v>
      </c>
      <c r="F338" s="8" t="s">
        <v>899</v>
      </c>
      <c r="G338" s="8" t="s">
        <v>432</v>
      </c>
      <c r="H338" s="8" t="s">
        <v>417</v>
      </c>
      <c r="I338" s="8" t="s">
        <v>19</v>
      </c>
      <c r="J338" s="8" t="s">
        <v>900</v>
      </c>
      <c r="K338" s="10" t="s">
        <v>21</v>
      </c>
      <c r="L338" s="10">
        <v>46286</v>
      </c>
      <c r="M338" s="10">
        <v>46289</v>
      </c>
      <c r="N338" s="13">
        <f t="shared" si="68"/>
        <v>46166</v>
      </c>
      <c r="O338" s="11" t="str">
        <f t="shared" ca="1" si="69"/>
        <v>Válida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34.5" customHeight="1" x14ac:dyDescent="0.25">
      <c r="A339" s="54">
        <v>98</v>
      </c>
      <c r="B339" s="55">
        <v>19000</v>
      </c>
      <c r="C339" s="8">
        <v>2024</v>
      </c>
      <c r="D339" s="8" t="s">
        <v>901</v>
      </c>
      <c r="E339" s="8" t="s">
        <v>902</v>
      </c>
      <c r="F339" s="8" t="s">
        <v>350</v>
      </c>
      <c r="G339" s="8" t="s">
        <v>142</v>
      </c>
      <c r="H339" s="8"/>
      <c r="I339" s="8" t="s">
        <v>112</v>
      </c>
      <c r="J339" s="8"/>
      <c r="K339" s="10" t="s">
        <v>903</v>
      </c>
      <c r="L339" s="10">
        <v>46978</v>
      </c>
      <c r="M339" s="10">
        <v>46235</v>
      </c>
      <c r="N339" s="13">
        <v>46856</v>
      </c>
      <c r="O339" s="11" t="s">
        <v>30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34.5" customHeight="1" x14ac:dyDescent="0.25">
      <c r="A340" s="54">
        <v>98</v>
      </c>
      <c r="B340" s="65">
        <v>37028520020199</v>
      </c>
      <c r="C340" s="8">
        <v>2025</v>
      </c>
      <c r="D340" s="8" t="s">
        <v>904</v>
      </c>
      <c r="E340" s="8" t="s">
        <v>905</v>
      </c>
      <c r="F340" s="8" t="s">
        <v>906</v>
      </c>
      <c r="G340" s="8" t="s">
        <v>907</v>
      </c>
      <c r="H340" s="8"/>
      <c r="I340" s="8" t="s">
        <v>19</v>
      </c>
      <c r="J340" s="8"/>
      <c r="K340" s="10" t="s">
        <v>908</v>
      </c>
      <c r="L340" s="10">
        <v>48057</v>
      </c>
      <c r="M340" s="10">
        <v>46231</v>
      </c>
      <c r="N340" s="13">
        <v>47935</v>
      </c>
      <c r="O340" s="11" t="s">
        <v>30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34.5" customHeight="1" x14ac:dyDescent="0.25">
      <c r="A341" s="54">
        <v>99</v>
      </c>
      <c r="B341" s="55">
        <v>156</v>
      </c>
      <c r="C341" s="8">
        <v>2003</v>
      </c>
      <c r="D341" s="8" t="s">
        <v>909</v>
      </c>
      <c r="E341" s="8" t="s">
        <v>910</v>
      </c>
      <c r="F341" s="8" t="s">
        <v>16</v>
      </c>
      <c r="G341" s="8" t="s">
        <v>412</v>
      </c>
      <c r="H341" s="8" t="s">
        <v>417</v>
      </c>
      <c r="I341" s="8" t="s">
        <v>19</v>
      </c>
      <c r="J341" s="8" t="s">
        <v>911</v>
      </c>
      <c r="K341" s="10" t="s">
        <v>21</v>
      </c>
      <c r="L341" s="10">
        <v>47082</v>
      </c>
      <c r="M341" s="10">
        <v>46351</v>
      </c>
      <c r="N341" s="13">
        <f>L341-120</f>
        <v>46962</v>
      </c>
      <c r="O341" s="11" t="str">
        <f t="shared" ref="O341:O345" ca="1" si="70">IF(L341&gt;TODAY(),"Válida",IF(ISBLANK(L341),"Andamento",IF(L341&lt;TODAY(),"Vencida",IF(L341-TODAY()&lt;90,"URGENTE",IF(L341-TODAY()&lt;150,"RENOVAÇÃO",)))))</f>
        <v>Válida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34.5" customHeight="1" x14ac:dyDescent="0.25">
      <c r="A342" s="54">
        <v>99</v>
      </c>
      <c r="B342" s="55">
        <v>2370</v>
      </c>
      <c r="C342" s="8">
        <v>2012</v>
      </c>
      <c r="D342" s="8" t="s">
        <v>909</v>
      </c>
      <c r="E342" s="8" t="s">
        <v>910</v>
      </c>
      <c r="F342" s="8" t="s">
        <v>16</v>
      </c>
      <c r="G342" s="8" t="s">
        <v>412</v>
      </c>
      <c r="H342" s="8" t="s">
        <v>417</v>
      </c>
      <c r="I342" s="8" t="s">
        <v>19</v>
      </c>
      <c r="J342" s="8" t="s">
        <v>854</v>
      </c>
      <c r="K342" s="10" t="s">
        <v>21</v>
      </c>
      <c r="L342" s="10">
        <v>46286</v>
      </c>
      <c r="M342" s="10">
        <v>46163</v>
      </c>
      <c r="N342" s="13">
        <v>46163</v>
      </c>
      <c r="O342" s="11" t="str">
        <f t="shared" ca="1" si="70"/>
        <v>Válida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34.5" customHeight="1" x14ac:dyDescent="0.25">
      <c r="A343" s="54">
        <v>99</v>
      </c>
      <c r="B343" s="55">
        <v>2370</v>
      </c>
      <c r="C343" s="8">
        <v>2012</v>
      </c>
      <c r="D343" s="8" t="s">
        <v>909</v>
      </c>
      <c r="E343" s="8" t="s">
        <v>910</v>
      </c>
      <c r="F343" s="8" t="s">
        <v>16</v>
      </c>
      <c r="G343" s="8" t="s">
        <v>412</v>
      </c>
      <c r="H343" s="8" t="s">
        <v>417</v>
      </c>
      <c r="I343" s="8" t="s">
        <v>599</v>
      </c>
      <c r="J343" s="8" t="s">
        <v>854</v>
      </c>
      <c r="K343" s="10" t="s">
        <v>21</v>
      </c>
      <c r="L343" s="10">
        <v>46260</v>
      </c>
      <c r="M343" s="10">
        <v>46140</v>
      </c>
      <c r="N343" s="13">
        <f t="shared" ref="N343:N345" si="71">L343-120</f>
        <v>46140</v>
      </c>
      <c r="O343" s="11" t="str">
        <f t="shared" ca="1" si="70"/>
        <v>Válida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34.5" customHeight="1" x14ac:dyDescent="0.25">
      <c r="A344" s="54">
        <v>100</v>
      </c>
      <c r="B344" s="56">
        <v>123</v>
      </c>
      <c r="C344" s="9">
        <v>2021</v>
      </c>
      <c r="D344" s="8" t="s">
        <v>912</v>
      </c>
      <c r="E344" s="9" t="s">
        <v>913</v>
      </c>
      <c r="F344" s="9" t="s">
        <v>198</v>
      </c>
      <c r="G344" s="9" t="s">
        <v>914</v>
      </c>
      <c r="H344" s="8" t="s">
        <v>417</v>
      </c>
      <c r="I344" s="9" t="s">
        <v>19</v>
      </c>
      <c r="J344" s="9" t="s">
        <v>915</v>
      </c>
      <c r="K344" s="8" t="s">
        <v>199</v>
      </c>
      <c r="L344" s="13">
        <v>46818</v>
      </c>
      <c r="M344" s="13">
        <v>46452</v>
      </c>
      <c r="N344" s="13">
        <f t="shared" si="71"/>
        <v>46698</v>
      </c>
      <c r="O344" s="11" t="str">
        <f t="shared" ca="1" si="70"/>
        <v>Válida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34.5" customHeight="1" x14ac:dyDescent="0.25">
      <c r="A345" s="54">
        <v>101</v>
      </c>
      <c r="B345" s="56">
        <v>4414</v>
      </c>
      <c r="C345" s="9">
        <v>2018</v>
      </c>
      <c r="D345" s="8" t="s">
        <v>916</v>
      </c>
      <c r="E345" s="9" t="s">
        <v>917</v>
      </c>
      <c r="F345" s="9" t="s">
        <v>16</v>
      </c>
      <c r="G345" s="9" t="s">
        <v>17</v>
      </c>
      <c r="H345" s="8" t="s">
        <v>417</v>
      </c>
      <c r="I345" s="9" t="s">
        <v>19</v>
      </c>
      <c r="J345" s="9" t="s">
        <v>918</v>
      </c>
      <c r="K345" s="8" t="s">
        <v>21</v>
      </c>
      <c r="L345" s="13">
        <v>46007</v>
      </c>
      <c r="M345" s="13">
        <v>45887</v>
      </c>
      <c r="N345" s="13">
        <f t="shared" si="71"/>
        <v>45887</v>
      </c>
      <c r="O345" s="11" t="str">
        <f t="shared" ca="1" si="70"/>
        <v>Vencida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34.5" customHeight="1" x14ac:dyDescent="0.25">
      <c r="A346" s="54">
        <v>102</v>
      </c>
      <c r="B346" s="56">
        <v>3097</v>
      </c>
      <c r="C346" s="9">
        <v>2014</v>
      </c>
      <c r="D346" s="8" t="s">
        <v>919</v>
      </c>
      <c r="E346" s="9" t="s">
        <v>920</v>
      </c>
      <c r="F346" s="9" t="s">
        <v>16</v>
      </c>
      <c r="G346" s="9" t="s">
        <v>921</v>
      </c>
      <c r="H346" s="8" t="s">
        <v>417</v>
      </c>
      <c r="I346" s="9" t="s">
        <v>19</v>
      </c>
      <c r="J346" s="9" t="s">
        <v>710</v>
      </c>
      <c r="K346" s="8" t="s">
        <v>21</v>
      </c>
      <c r="L346" s="13"/>
      <c r="M346" s="13"/>
      <c r="N346" s="13"/>
      <c r="O346" s="11" t="s">
        <v>922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34.5" customHeight="1" x14ac:dyDescent="0.25">
      <c r="A347" s="54">
        <v>103</v>
      </c>
      <c r="B347" s="56">
        <v>36204</v>
      </c>
      <c r="C347" s="9">
        <v>2023</v>
      </c>
      <c r="D347" s="8" t="s">
        <v>923</v>
      </c>
      <c r="E347" s="9" t="s">
        <v>924</v>
      </c>
      <c r="F347" s="9" t="s">
        <v>16</v>
      </c>
      <c r="G347" s="8" t="s">
        <v>432</v>
      </c>
      <c r="H347" s="8"/>
      <c r="I347" s="9" t="s">
        <v>19</v>
      </c>
      <c r="J347" s="9"/>
      <c r="K347" s="8" t="s">
        <v>262</v>
      </c>
      <c r="L347" s="13">
        <v>46917</v>
      </c>
      <c r="M347" s="13">
        <v>45444</v>
      </c>
      <c r="N347" s="13">
        <f t="shared" ref="N347:N354" si="72">L347-120</f>
        <v>46797</v>
      </c>
      <c r="O347" s="11" t="str">
        <f t="shared" ref="O347:O352" ca="1" si="73">IF(L347&gt;TODAY(),"Válida",IF(ISBLANK(L347),"Andamento",IF(L347&lt;TODAY(),"Vencida",IF(L347-TODAY()&lt;90,"URGENTE",IF(L347-TODAY()&lt;150,"RENOVAÇÃO",)))))</f>
        <v>Válida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34.5" customHeight="1" x14ac:dyDescent="0.25">
      <c r="A348" s="54">
        <v>104</v>
      </c>
      <c r="B348" s="56">
        <v>258138300</v>
      </c>
      <c r="C348" s="9">
        <v>2025</v>
      </c>
      <c r="D348" s="8" t="s">
        <v>925</v>
      </c>
      <c r="E348" s="9" t="s">
        <v>926</v>
      </c>
      <c r="F348" s="9" t="s">
        <v>402</v>
      </c>
      <c r="G348" s="9" t="s">
        <v>432</v>
      </c>
      <c r="H348" s="8"/>
      <c r="I348" s="9" t="s">
        <v>19</v>
      </c>
      <c r="J348" s="9"/>
      <c r="K348" s="13" t="s">
        <v>21</v>
      </c>
      <c r="L348" s="13">
        <v>46352</v>
      </c>
      <c r="M348" s="13">
        <v>46229</v>
      </c>
      <c r="N348" s="13">
        <f t="shared" si="72"/>
        <v>46232</v>
      </c>
      <c r="O348" s="11" t="str">
        <f t="shared" ca="1" si="73"/>
        <v>Válida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34.5" customHeight="1" x14ac:dyDescent="0.25">
      <c r="A349" s="54">
        <v>104</v>
      </c>
      <c r="B349" s="56" t="s">
        <v>927</v>
      </c>
      <c r="C349" s="9">
        <v>2010</v>
      </c>
      <c r="D349" s="9" t="s">
        <v>928</v>
      </c>
      <c r="E349" s="9" t="s">
        <v>929</v>
      </c>
      <c r="F349" s="9" t="s">
        <v>402</v>
      </c>
      <c r="G349" s="9" t="s">
        <v>432</v>
      </c>
      <c r="H349" s="8" t="s">
        <v>417</v>
      </c>
      <c r="I349" s="9" t="s">
        <v>19</v>
      </c>
      <c r="J349" s="9" t="s">
        <v>525</v>
      </c>
      <c r="K349" s="13" t="s">
        <v>21</v>
      </c>
      <c r="L349" s="13">
        <v>46057</v>
      </c>
      <c r="M349" s="13">
        <v>45937</v>
      </c>
      <c r="N349" s="13">
        <f t="shared" si="72"/>
        <v>45937</v>
      </c>
      <c r="O349" s="11" t="str">
        <f t="shared" ca="1" si="73"/>
        <v>Vencida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34.5" customHeight="1" x14ac:dyDescent="0.25">
      <c r="A350" s="54">
        <v>104</v>
      </c>
      <c r="B350" s="56" t="s">
        <v>930</v>
      </c>
      <c r="C350" s="9">
        <v>2024</v>
      </c>
      <c r="D350" s="9" t="s">
        <v>931</v>
      </c>
      <c r="E350" s="9" t="s">
        <v>932</v>
      </c>
      <c r="F350" s="9" t="s">
        <v>402</v>
      </c>
      <c r="G350" s="9" t="s">
        <v>432</v>
      </c>
      <c r="H350" s="8" t="s">
        <v>417</v>
      </c>
      <c r="I350" s="9" t="s">
        <v>19</v>
      </c>
      <c r="J350" s="9" t="s">
        <v>933</v>
      </c>
      <c r="K350" s="13" t="s">
        <v>21</v>
      </c>
      <c r="L350" s="13">
        <v>45868</v>
      </c>
      <c r="M350" s="13">
        <v>45748</v>
      </c>
      <c r="N350" s="13">
        <f t="shared" si="72"/>
        <v>45748</v>
      </c>
      <c r="O350" s="11" t="str">
        <f t="shared" ca="1" si="73"/>
        <v>Vencida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34.5" customHeight="1" x14ac:dyDescent="0.25">
      <c r="A351" s="54">
        <v>104</v>
      </c>
      <c r="B351" s="56">
        <v>872</v>
      </c>
      <c r="C351" s="9">
        <v>2023</v>
      </c>
      <c r="D351" s="9" t="s">
        <v>934</v>
      </c>
      <c r="E351" s="9" t="s">
        <v>935</v>
      </c>
      <c r="F351" s="9" t="s">
        <v>936</v>
      </c>
      <c r="G351" s="9" t="s">
        <v>67</v>
      </c>
      <c r="H351" s="8" t="s">
        <v>417</v>
      </c>
      <c r="I351" s="9" t="s">
        <v>19</v>
      </c>
      <c r="J351" s="9" t="s">
        <v>933</v>
      </c>
      <c r="K351" s="13" t="s">
        <v>21</v>
      </c>
      <c r="L351" s="13">
        <v>46677</v>
      </c>
      <c r="M351" s="13">
        <v>45566</v>
      </c>
      <c r="N351" s="13">
        <f t="shared" si="72"/>
        <v>46557</v>
      </c>
      <c r="O351" s="11" t="str">
        <f t="shared" ca="1" si="73"/>
        <v>Válida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34.5" customHeight="1" x14ac:dyDescent="0.25">
      <c r="A352" s="54">
        <v>104</v>
      </c>
      <c r="B352" s="56" t="s">
        <v>937</v>
      </c>
      <c r="C352" s="9">
        <v>2023</v>
      </c>
      <c r="D352" s="9" t="s">
        <v>938</v>
      </c>
      <c r="E352" s="9" t="s">
        <v>939</v>
      </c>
      <c r="F352" s="9" t="s">
        <v>940</v>
      </c>
      <c r="G352" s="9" t="s">
        <v>67</v>
      </c>
      <c r="H352" s="8"/>
      <c r="I352" s="9" t="s">
        <v>40</v>
      </c>
      <c r="J352" s="9"/>
      <c r="K352" s="13" t="s">
        <v>21</v>
      </c>
      <c r="L352" s="13">
        <v>46213</v>
      </c>
      <c r="M352" s="13">
        <v>45848</v>
      </c>
      <c r="N352" s="13">
        <f t="shared" si="72"/>
        <v>46093</v>
      </c>
      <c r="O352" s="11" t="str">
        <f t="shared" ca="1" si="73"/>
        <v>Válida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34.5" customHeight="1" x14ac:dyDescent="0.25">
      <c r="A353" s="54">
        <v>104</v>
      </c>
      <c r="B353" s="56">
        <v>1491</v>
      </c>
      <c r="C353" s="9">
        <v>2023</v>
      </c>
      <c r="D353" s="8" t="s">
        <v>941</v>
      </c>
      <c r="E353" s="9" t="s">
        <v>942</v>
      </c>
      <c r="F353" s="9" t="s">
        <v>943</v>
      </c>
      <c r="G353" s="9" t="s">
        <v>944</v>
      </c>
      <c r="H353" s="8" t="s">
        <v>417</v>
      </c>
      <c r="I353" s="9" t="s">
        <v>19</v>
      </c>
      <c r="J353" s="9" t="s">
        <v>945</v>
      </c>
      <c r="K353" s="8" t="s">
        <v>21</v>
      </c>
      <c r="L353" s="13">
        <v>46128</v>
      </c>
      <c r="M353" s="13">
        <v>46008</v>
      </c>
      <c r="N353" s="13">
        <f t="shared" si="72"/>
        <v>46008</v>
      </c>
      <c r="O353" s="11" t="s">
        <v>385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34.5" customHeight="1" x14ac:dyDescent="0.25">
      <c r="A354" s="54">
        <v>105</v>
      </c>
      <c r="B354" s="55" t="s">
        <v>949</v>
      </c>
      <c r="C354" s="8">
        <v>2022</v>
      </c>
      <c r="D354" s="8" t="s">
        <v>946</v>
      </c>
      <c r="E354" s="9" t="s">
        <v>947</v>
      </c>
      <c r="F354" s="9" t="s">
        <v>16</v>
      </c>
      <c r="G354" s="9" t="s">
        <v>493</v>
      </c>
      <c r="H354" s="8" t="s">
        <v>417</v>
      </c>
      <c r="I354" s="8" t="s">
        <v>599</v>
      </c>
      <c r="J354" s="9" t="s">
        <v>948</v>
      </c>
      <c r="K354" s="8" t="s">
        <v>21</v>
      </c>
      <c r="L354" s="10">
        <v>46823</v>
      </c>
      <c r="M354" s="10">
        <v>46703</v>
      </c>
      <c r="N354" s="13">
        <f t="shared" si="72"/>
        <v>46703</v>
      </c>
      <c r="O354" s="11" t="str">
        <f t="shared" ref="O354:O361" ca="1" si="74">IF(L354&gt;TODAY(),"Válida",IF(ISBLANK(L354),"Andamento",IF(L354&lt;TODAY(),"Vencida",IF(L354-TODAY()&lt;90,"URGENTE",IF(L354-TODAY()&lt;150,"RENOVAÇÃO",)))))</f>
        <v>Válida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34.5" customHeight="1" x14ac:dyDescent="0.25">
      <c r="A355" s="54">
        <v>105</v>
      </c>
      <c r="B355" s="55" t="s">
        <v>949</v>
      </c>
      <c r="C355" s="8">
        <v>2025</v>
      </c>
      <c r="D355" s="8" t="s">
        <v>950</v>
      </c>
      <c r="E355" s="9" t="s">
        <v>947</v>
      </c>
      <c r="F355" s="9" t="s">
        <v>16</v>
      </c>
      <c r="G355" s="9" t="s">
        <v>493</v>
      </c>
      <c r="H355" s="8"/>
      <c r="I355" s="8" t="s">
        <v>19</v>
      </c>
      <c r="J355" s="9"/>
      <c r="K355" s="8" t="s">
        <v>21</v>
      </c>
      <c r="L355" s="10">
        <v>46211</v>
      </c>
      <c r="M355" s="10">
        <v>46089</v>
      </c>
      <c r="N355" s="13">
        <v>46089</v>
      </c>
      <c r="O355" s="11" t="str">
        <f t="shared" ca="1" si="74"/>
        <v>Válida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34.5" customHeight="1" x14ac:dyDescent="0.25">
      <c r="A356" s="54">
        <v>106</v>
      </c>
      <c r="B356" s="55">
        <v>160309</v>
      </c>
      <c r="C356" s="8">
        <v>2022</v>
      </c>
      <c r="D356" s="8" t="s">
        <v>951</v>
      </c>
      <c r="E356" s="9" t="s">
        <v>952</v>
      </c>
      <c r="F356" s="9" t="s">
        <v>191</v>
      </c>
      <c r="G356" s="9" t="s">
        <v>48</v>
      </c>
      <c r="H356" s="8"/>
      <c r="I356" s="8" t="s">
        <v>19</v>
      </c>
      <c r="J356" s="9"/>
      <c r="K356" s="8" t="s">
        <v>21</v>
      </c>
      <c r="L356" s="10">
        <v>46113</v>
      </c>
      <c r="M356" s="10">
        <v>46113</v>
      </c>
      <c r="N356" s="13">
        <f>L356-120</f>
        <v>45993</v>
      </c>
      <c r="O356" s="11" t="str">
        <f t="shared" ca="1" si="74"/>
        <v>Válida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34.5" customHeight="1" x14ac:dyDescent="0.25">
      <c r="A357" s="54">
        <v>106</v>
      </c>
      <c r="B357" s="55">
        <v>2024000046</v>
      </c>
      <c r="C357" s="8">
        <v>2024</v>
      </c>
      <c r="D357" s="8" t="s">
        <v>953</v>
      </c>
      <c r="E357" s="9" t="s">
        <v>952</v>
      </c>
      <c r="F357" s="9" t="s">
        <v>954</v>
      </c>
      <c r="G357" s="9" t="s">
        <v>217</v>
      </c>
      <c r="H357" s="8"/>
      <c r="I357" s="8" t="s">
        <v>112</v>
      </c>
      <c r="J357" s="9"/>
      <c r="K357" s="8" t="s">
        <v>21</v>
      </c>
      <c r="L357" s="10">
        <v>46290</v>
      </c>
      <c r="M357" s="10">
        <v>46167</v>
      </c>
      <c r="N357" s="13">
        <v>46167</v>
      </c>
      <c r="O357" s="11" t="str">
        <f t="shared" ca="1" si="74"/>
        <v>Válida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34.5" customHeight="1" x14ac:dyDescent="0.25">
      <c r="A358" s="54">
        <v>106</v>
      </c>
      <c r="B358" s="55" t="s">
        <v>955</v>
      </c>
      <c r="C358" s="8">
        <v>2024</v>
      </c>
      <c r="D358" s="8" t="s">
        <v>956</v>
      </c>
      <c r="E358" s="9" t="s">
        <v>952</v>
      </c>
      <c r="F358" s="9" t="s">
        <v>957</v>
      </c>
      <c r="G358" s="9" t="s">
        <v>958</v>
      </c>
      <c r="H358" s="8"/>
      <c r="I358" s="8" t="s">
        <v>112</v>
      </c>
      <c r="J358" s="9"/>
      <c r="K358" s="8" t="s">
        <v>21</v>
      </c>
      <c r="L358" s="10">
        <v>46296</v>
      </c>
      <c r="M358" s="10">
        <v>46174</v>
      </c>
      <c r="N358" s="13">
        <v>46174</v>
      </c>
      <c r="O358" s="11" t="str">
        <f t="shared" ca="1" si="74"/>
        <v>Válida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34.5" customHeight="1" x14ac:dyDescent="0.25">
      <c r="A359" s="54">
        <v>107</v>
      </c>
      <c r="B359" s="55">
        <v>23825</v>
      </c>
      <c r="C359" s="8">
        <v>2021</v>
      </c>
      <c r="D359" s="8" t="s">
        <v>959</v>
      </c>
      <c r="E359" s="9" t="s">
        <v>960</v>
      </c>
      <c r="F359" s="9" t="s">
        <v>119</v>
      </c>
      <c r="G359" s="9" t="s">
        <v>48</v>
      </c>
      <c r="H359" s="8" t="s">
        <v>417</v>
      </c>
      <c r="I359" s="8" t="s">
        <v>19</v>
      </c>
      <c r="J359" s="9" t="s">
        <v>789</v>
      </c>
      <c r="K359" s="8" t="s">
        <v>262</v>
      </c>
      <c r="L359" s="10">
        <v>46734</v>
      </c>
      <c r="M359" s="10">
        <v>46327</v>
      </c>
      <c r="N359" s="13">
        <f>L359-120</f>
        <v>46614</v>
      </c>
      <c r="O359" s="11" t="str">
        <f t="shared" ca="1" si="74"/>
        <v>Válida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34.5" customHeight="1" x14ac:dyDescent="0.25">
      <c r="A360" s="54">
        <v>107</v>
      </c>
      <c r="B360" s="55">
        <v>7259</v>
      </c>
      <c r="C360" s="8">
        <v>2023</v>
      </c>
      <c r="D360" s="8" t="s">
        <v>961</v>
      </c>
      <c r="E360" s="9" t="s">
        <v>960</v>
      </c>
      <c r="F360" s="9" t="s">
        <v>16</v>
      </c>
      <c r="G360" s="9" t="s">
        <v>17</v>
      </c>
      <c r="H360" s="8"/>
      <c r="I360" s="8" t="s">
        <v>49</v>
      </c>
      <c r="J360" s="9"/>
      <c r="K360" s="8" t="s">
        <v>21</v>
      </c>
      <c r="L360" s="10" t="s">
        <v>91</v>
      </c>
      <c r="M360" s="10" t="s">
        <v>91</v>
      </c>
      <c r="N360" s="10" t="s">
        <v>91</v>
      </c>
      <c r="O360" s="11" t="str">
        <f t="shared" ca="1" si="74"/>
        <v>Válida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34.5" customHeight="1" x14ac:dyDescent="0.25">
      <c r="A361" s="54">
        <v>107</v>
      </c>
      <c r="B361" s="55" t="s">
        <v>962</v>
      </c>
      <c r="C361" s="8">
        <v>2025</v>
      </c>
      <c r="D361" s="8" t="s">
        <v>963</v>
      </c>
      <c r="E361" s="9" t="s">
        <v>964</v>
      </c>
      <c r="F361" s="9" t="s">
        <v>367</v>
      </c>
      <c r="G361" s="9" t="s">
        <v>368</v>
      </c>
      <c r="H361" s="8"/>
      <c r="I361" s="8" t="s">
        <v>19</v>
      </c>
      <c r="J361" s="9"/>
      <c r="K361" s="8" t="s">
        <v>21</v>
      </c>
      <c r="L361" s="10">
        <v>46171</v>
      </c>
      <c r="M361" s="10">
        <v>46051</v>
      </c>
      <c r="N361" s="13">
        <f>L361-120</f>
        <v>46051</v>
      </c>
      <c r="O361" s="11" t="str">
        <f t="shared" ca="1" si="74"/>
        <v>Válida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34.5" customHeight="1" x14ac:dyDescent="0.25">
      <c r="A362" s="54">
        <v>108</v>
      </c>
      <c r="B362" s="55">
        <v>901</v>
      </c>
      <c r="C362" s="8">
        <v>2006</v>
      </c>
      <c r="D362" s="8" t="s">
        <v>965</v>
      </c>
      <c r="E362" s="9" t="s">
        <v>966</v>
      </c>
      <c r="F362" s="9" t="s">
        <v>16</v>
      </c>
      <c r="G362" s="9" t="s">
        <v>71</v>
      </c>
      <c r="H362" s="8" t="s">
        <v>417</v>
      </c>
      <c r="I362" s="8" t="s">
        <v>19</v>
      </c>
      <c r="J362" s="9" t="s">
        <v>710</v>
      </c>
      <c r="K362" s="8" t="s">
        <v>21</v>
      </c>
      <c r="L362" s="10">
        <v>46164</v>
      </c>
      <c r="M362" s="13">
        <v>46044</v>
      </c>
      <c r="N362" s="13">
        <v>46044</v>
      </c>
      <c r="O362" s="11" t="s">
        <v>30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34.5" customHeight="1" x14ac:dyDescent="0.25">
      <c r="A363" s="54">
        <v>109</v>
      </c>
      <c r="B363" s="55">
        <v>649</v>
      </c>
      <c r="C363" s="8">
        <v>2022</v>
      </c>
      <c r="D363" s="8" t="s">
        <v>967</v>
      </c>
      <c r="E363" s="9" t="s">
        <v>968</v>
      </c>
      <c r="F363" s="9" t="s">
        <v>81</v>
      </c>
      <c r="G363" s="9" t="s">
        <v>969</v>
      </c>
      <c r="H363" s="8" t="s">
        <v>417</v>
      </c>
      <c r="I363" s="8" t="s">
        <v>19</v>
      </c>
      <c r="J363" s="9" t="s">
        <v>970</v>
      </c>
      <c r="K363" s="8" t="s">
        <v>262</v>
      </c>
      <c r="L363" s="10">
        <v>46052</v>
      </c>
      <c r="M363" s="10">
        <v>45658</v>
      </c>
      <c r="N363" s="13">
        <f t="shared" ref="N363:N373" si="75">L363-120</f>
        <v>45932</v>
      </c>
      <c r="O363" s="11" t="str">
        <f t="shared" ref="O363:O371" ca="1" si="76">IF(L363&gt;TODAY(),"Válida",IF(ISBLANK(L363),"Andamento",IF(L363&lt;TODAY(),"Vencida",IF(L363-TODAY()&lt;90,"URGENTE",IF(L363-TODAY()&lt;150,"RENOVAÇÃO",)))))</f>
        <v>Vencida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34.5" customHeight="1" x14ac:dyDescent="0.25">
      <c r="A364" s="54">
        <v>110</v>
      </c>
      <c r="B364" s="55" t="s">
        <v>971</v>
      </c>
      <c r="C364" s="8">
        <v>2025</v>
      </c>
      <c r="D364" s="8" t="s">
        <v>972</v>
      </c>
      <c r="E364" s="9" t="s">
        <v>973</v>
      </c>
      <c r="F364" s="9" t="s">
        <v>119</v>
      </c>
      <c r="G364" s="9" t="s">
        <v>974</v>
      </c>
      <c r="H364" s="8"/>
      <c r="I364" s="8" t="s">
        <v>19</v>
      </c>
      <c r="J364" s="9"/>
      <c r="K364" s="8" t="s">
        <v>21</v>
      </c>
      <c r="L364" s="10">
        <v>46269</v>
      </c>
      <c r="M364" s="10">
        <v>46149</v>
      </c>
      <c r="N364" s="13">
        <f t="shared" si="75"/>
        <v>46149</v>
      </c>
      <c r="O364" s="11" t="str">
        <f t="shared" ca="1" si="76"/>
        <v>Válida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34.5" customHeight="1" x14ac:dyDescent="0.25">
      <c r="A365" s="54">
        <v>110</v>
      </c>
      <c r="B365" s="55">
        <v>10143</v>
      </c>
      <c r="C365" s="8">
        <v>2022</v>
      </c>
      <c r="D365" s="8" t="s">
        <v>975</v>
      </c>
      <c r="E365" s="9" t="s">
        <v>976</v>
      </c>
      <c r="F365" s="9" t="s">
        <v>977</v>
      </c>
      <c r="G365" s="9" t="s">
        <v>48</v>
      </c>
      <c r="H365" s="8"/>
      <c r="I365" s="8" t="s">
        <v>19</v>
      </c>
      <c r="J365" s="9"/>
      <c r="K365" s="8" t="s">
        <v>262</v>
      </c>
      <c r="L365" s="10">
        <v>46287</v>
      </c>
      <c r="M365" s="10">
        <v>46167</v>
      </c>
      <c r="N365" s="13">
        <f t="shared" si="75"/>
        <v>46167</v>
      </c>
      <c r="O365" s="11" t="str">
        <f t="shared" ca="1" si="76"/>
        <v>Válida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34.5" customHeight="1" x14ac:dyDescent="0.25">
      <c r="A366" s="54">
        <v>111</v>
      </c>
      <c r="B366" s="55">
        <v>232</v>
      </c>
      <c r="C366" s="8">
        <v>2025</v>
      </c>
      <c r="D366" s="8" t="s">
        <v>978</v>
      </c>
      <c r="E366" s="9" t="s">
        <v>979</v>
      </c>
      <c r="F366" s="9" t="s">
        <v>212</v>
      </c>
      <c r="G366" s="9" t="s">
        <v>579</v>
      </c>
      <c r="H366" s="8"/>
      <c r="I366" s="8" t="s">
        <v>19</v>
      </c>
      <c r="J366" s="9"/>
      <c r="K366" s="8" t="s">
        <v>21</v>
      </c>
      <c r="L366" s="10">
        <v>46934</v>
      </c>
      <c r="M366" s="10">
        <v>46203</v>
      </c>
      <c r="N366" s="13">
        <f t="shared" si="75"/>
        <v>46814</v>
      </c>
      <c r="O366" s="11" t="str">
        <f t="shared" ca="1" si="76"/>
        <v>Válida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34.5" customHeight="1" x14ac:dyDescent="0.25">
      <c r="A367" s="54">
        <v>112</v>
      </c>
      <c r="B367" s="55">
        <v>168</v>
      </c>
      <c r="C367" s="8">
        <v>2018</v>
      </c>
      <c r="D367" s="8" t="s">
        <v>980</v>
      </c>
      <c r="E367" s="9" t="s">
        <v>981</v>
      </c>
      <c r="F367" s="9" t="s">
        <v>209</v>
      </c>
      <c r="G367" s="9" t="s">
        <v>48</v>
      </c>
      <c r="H367" s="8"/>
      <c r="I367" s="8" t="s">
        <v>19</v>
      </c>
      <c r="J367" s="9"/>
      <c r="K367" s="8" t="s">
        <v>210</v>
      </c>
      <c r="L367" s="10">
        <v>46079</v>
      </c>
      <c r="M367" s="13" t="s">
        <v>982</v>
      </c>
      <c r="N367" s="13">
        <f t="shared" si="75"/>
        <v>45959</v>
      </c>
      <c r="O367" s="11" t="str">
        <f t="shared" ca="1" si="76"/>
        <v>Vencida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34.5" customHeight="1" x14ac:dyDescent="0.25">
      <c r="A368" s="54">
        <v>113</v>
      </c>
      <c r="B368" s="55">
        <v>105</v>
      </c>
      <c r="C368" s="8">
        <v>2021</v>
      </c>
      <c r="D368" s="8" t="s">
        <v>983</v>
      </c>
      <c r="E368" s="9" t="s">
        <v>984</v>
      </c>
      <c r="F368" s="9" t="s">
        <v>358</v>
      </c>
      <c r="G368" s="9" t="s">
        <v>48</v>
      </c>
      <c r="H368" s="8"/>
      <c r="I368" s="8" t="s">
        <v>19</v>
      </c>
      <c r="J368" s="9"/>
      <c r="K368" s="8" t="s">
        <v>21</v>
      </c>
      <c r="L368" s="10">
        <v>46042</v>
      </c>
      <c r="M368" s="10">
        <v>45922</v>
      </c>
      <c r="N368" s="13">
        <f t="shared" si="75"/>
        <v>45922</v>
      </c>
      <c r="O368" s="11" t="str">
        <f t="shared" ca="1" si="76"/>
        <v>Vencida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34.5" customHeight="1" x14ac:dyDescent="0.25">
      <c r="A369" s="54">
        <v>113</v>
      </c>
      <c r="B369" s="55" t="s">
        <v>1815</v>
      </c>
      <c r="C369" s="8">
        <v>2022</v>
      </c>
      <c r="D369" s="8" t="s">
        <v>1816</v>
      </c>
      <c r="E369" s="9" t="s">
        <v>1817</v>
      </c>
      <c r="F369" s="9" t="s">
        <v>1818</v>
      </c>
      <c r="G369" s="9" t="s">
        <v>217</v>
      </c>
      <c r="H369" s="8"/>
      <c r="I369" s="8" t="s">
        <v>19</v>
      </c>
      <c r="J369" s="9"/>
      <c r="K369" s="8" t="s">
        <v>21</v>
      </c>
      <c r="L369" s="10">
        <v>46512</v>
      </c>
      <c r="M369" s="10">
        <v>46392</v>
      </c>
      <c r="N369" s="13">
        <f t="shared" si="75"/>
        <v>46392</v>
      </c>
      <c r="O369" s="11" t="str">
        <f t="shared" ca="1" si="76"/>
        <v>Válida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34.5" customHeight="1" x14ac:dyDescent="0.25">
      <c r="A370" s="54">
        <v>113</v>
      </c>
      <c r="B370" s="55" t="s">
        <v>1824</v>
      </c>
      <c r="C370" s="8">
        <v>2025</v>
      </c>
      <c r="D370" s="8" t="s">
        <v>1825</v>
      </c>
      <c r="E370" s="9" t="s">
        <v>1826</v>
      </c>
      <c r="F370" s="9" t="s">
        <v>1827</v>
      </c>
      <c r="G370" s="9" t="s">
        <v>1795</v>
      </c>
      <c r="H370" s="8"/>
      <c r="I370" s="8" t="s">
        <v>19</v>
      </c>
      <c r="J370" s="9"/>
      <c r="K370" s="8" t="s">
        <v>1828</v>
      </c>
      <c r="L370" s="10">
        <v>46309</v>
      </c>
      <c r="M370" s="10">
        <v>46187</v>
      </c>
      <c r="N370" s="13">
        <f t="shared" si="75"/>
        <v>46189</v>
      </c>
      <c r="O370" s="11" t="str">
        <f t="shared" ca="1" si="76"/>
        <v>Válida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34.5" customHeight="1" x14ac:dyDescent="0.25">
      <c r="A371" s="54">
        <v>114</v>
      </c>
      <c r="B371" s="55">
        <v>106</v>
      </c>
      <c r="C371" s="8">
        <v>2021</v>
      </c>
      <c r="D371" s="8" t="s">
        <v>985</v>
      </c>
      <c r="E371" s="9" t="s">
        <v>986</v>
      </c>
      <c r="F371" s="9" t="s">
        <v>358</v>
      </c>
      <c r="G371" s="9" t="s">
        <v>987</v>
      </c>
      <c r="H371" s="8"/>
      <c r="I371" s="8" t="s">
        <v>19</v>
      </c>
      <c r="J371" s="9"/>
      <c r="K371" s="8" t="s">
        <v>21</v>
      </c>
      <c r="L371" s="10">
        <v>46040</v>
      </c>
      <c r="M371" s="10">
        <v>45920</v>
      </c>
      <c r="N371" s="13">
        <f t="shared" si="75"/>
        <v>45920</v>
      </c>
      <c r="O371" s="11" t="str">
        <f t="shared" ca="1" si="76"/>
        <v>Vencida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34.5" customHeight="1" x14ac:dyDescent="0.25">
      <c r="A372" s="54">
        <v>115</v>
      </c>
      <c r="B372" s="55" t="s">
        <v>988</v>
      </c>
      <c r="C372" s="8">
        <v>2019</v>
      </c>
      <c r="D372" s="8" t="s">
        <v>989</v>
      </c>
      <c r="E372" s="8" t="s">
        <v>990</v>
      </c>
      <c r="F372" s="8" t="s">
        <v>16</v>
      </c>
      <c r="G372" s="8" t="s">
        <v>506</v>
      </c>
      <c r="H372" s="8"/>
      <c r="I372" s="8" t="s">
        <v>19</v>
      </c>
      <c r="J372" s="9"/>
      <c r="K372" s="8" t="s">
        <v>21</v>
      </c>
      <c r="L372" s="10">
        <v>46315</v>
      </c>
      <c r="M372" s="10">
        <v>46195</v>
      </c>
      <c r="N372" s="13">
        <f t="shared" si="75"/>
        <v>46195</v>
      </c>
      <c r="O372" s="11" t="s">
        <v>30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34.5" customHeight="1" x14ac:dyDescent="0.25">
      <c r="A373" s="54">
        <v>116</v>
      </c>
      <c r="B373" s="55">
        <v>5646</v>
      </c>
      <c r="C373" s="8">
        <v>2020</v>
      </c>
      <c r="D373" s="8" t="s">
        <v>991</v>
      </c>
      <c r="E373" s="9" t="s">
        <v>992</v>
      </c>
      <c r="F373" s="9" t="s">
        <v>104</v>
      </c>
      <c r="G373" s="9" t="s">
        <v>138</v>
      </c>
      <c r="H373" s="8"/>
      <c r="I373" s="8" t="s">
        <v>19</v>
      </c>
      <c r="J373" s="9"/>
      <c r="K373" s="8" t="s">
        <v>21</v>
      </c>
      <c r="L373" s="10">
        <v>46375</v>
      </c>
      <c r="M373" s="10">
        <v>46255</v>
      </c>
      <c r="N373" s="13">
        <f t="shared" si="75"/>
        <v>46255</v>
      </c>
      <c r="O373" s="11" t="str">
        <f ca="1">IF(L373&gt;TODAY(),"Válida",IF(ISBLANK(L373),"Andamento",IF(L373&lt;TODAY(),"Vencida",IF(L373-TODAY()&lt;90,"URGENTE",IF(L373-TODAY()&lt;150,"RENOVAÇÃO",)))))</f>
        <v>Válida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34.5" customHeight="1" x14ac:dyDescent="0.25">
      <c r="A374" s="54">
        <v>116</v>
      </c>
      <c r="B374" s="55">
        <v>303</v>
      </c>
      <c r="C374" s="8">
        <v>2023</v>
      </c>
      <c r="D374" s="8" t="s">
        <v>991</v>
      </c>
      <c r="E374" s="9" t="s">
        <v>992</v>
      </c>
      <c r="F374" s="9" t="s">
        <v>993</v>
      </c>
      <c r="G374" s="9" t="s">
        <v>994</v>
      </c>
      <c r="H374" s="8"/>
      <c r="I374" s="8" t="s">
        <v>112</v>
      </c>
      <c r="J374" s="9"/>
      <c r="K374" s="8" t="s">
        <v>21</v>
      </c>
      <c r="L374" s="10">
        <v>45646</v>
      </c>
      <c r="M374" s="10">
        <v>45524</v>
      </c>
      <c r="N374" s="13">
        <v>45524</v>
      </c>
      <c r="O374" s="11" t="s">
        <v>30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34.5" customHeight="1" x14ac:dyDescent="0.25">
      <c r="A375" s="54">
        <v>117</v>
      </c>
      <c r="B375" s="55" t="s">
        <v>995</v>
      </c>
      <c r="C375" s="8">
        <v>2024</v>
      </c>
      <c r="D375" s="8" t="s">
        <v>996</v>
      </c>
      <c r="E375" s="9" t="s">
        <v>997</v>
      </c>
      <c r="F375" s="9" t="s">
        <v>16</v>
      </c>
      <c r="G375" s="9" t="s">
        <v>142</v>
      </c>
      <c r="H375" s="8"/>
      <c r="I375" s="8" t="s">
        <v>49</v>
      </c>
      <c r="J375" s="9"/>
      <c r="K375" s="8" t="s">
        <v>998</v>
      </c>
      <c r="L375" s="10" t="s">
        <v>91</v>
      </c>
      <c r="M375" s="10" t="s">
        <v>91</v>
      </c>
      <c r="N375" s="10" t="s">
        <v>91</v>
      </c>
      <c r="O375" s="11" t="str">
        <f t="shared" ref="O375:O376" ca="1" si="77">IF(L375&gt;TODAY(),"Válida",IF(ISBLANK(L375),"Andamento",IF(L375&lt;TODAY(),"Vencida",IF(L375-TODAY()&lt;90,"URGENTE",IF(L375-TODAY()&lt;150,"RENOVAÇÃO",)))))</f>
        <v>Válida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34.5" customHeight="1" x14ac:dyDescent="0.25">
      <c r="A376" s="54">
        <v>118</v>
      </c>
      <c r="B376" s="55">
        <v>68</v>
      </c>
      <c r="C376" s="8">
        <v>2012</v>
      </c>
      <c r="D376" s="8" t="s">
        <v>999</v>
      </c>
      <c r="E376" s="8" t="s">
        <v>1000</v>
      </c>
      <c r="F376" s="8" t="s">
        <v>767</v>
      </c>
      <c r="G376" s="8" t="s">
        <v>1001</v>
      </c>
      <c r="H376" s="8" t="s">
        <v>19</v>
      </c>
      <c r="I376" s="15" t="s">
        <v>19</v>
      </c>
      <c r="J376" s="8"/>
      <c r="K376" s="10" t="s">
        <v>21</v>
      </c>
      <c r="L376" s="10">
        <v>46372</v>
      </c>
      <c r="M376" s="10">
        <v>46250</v>
      </c>
      <c r="N376" s="13">
        <v>46250</v>
      </c>
      <c r="O376" s="11" t="str">
        <f t="shared" ca="1" si="77"/>
        <v>Válida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34.5" customHeight="1" x14ac:dyDescent="0.25">
      <c r="A377" s="54">
        <v>118</v>
      </c>
      <c r="B377" s="55">
        <v>190</v>
      </c>
      <c r="C377" s="8">
        <v>2017</v>
      </c>
      <c r="D377" s="8" t="s">
        <v>1002</v>
      </c>
      <c r="E377" s="8" t="s">
        <v>1003</v>
      </c>
      <c r="F377" s="8" t="s">
        <v>767</v>
      </c>
      <c r="G377" s="8" t="s">
        <v>1001</v>
      </c>
      <c r="H377" s="8"/>
      <c r="I377" s="15" t="s">
        <v>19</v>
      </c>
      <c r="J377" s="8"/>
      <c r="K377" s="10" t="s">
        <v>21</v>
      </c>
      <c r="L377" s="10">
        <v>46134</v>
      </c>
      <c r="M377" s="10">
        <v>46014</v>
      </c>
      <c r="N377" s="13">
        <f t="shared" ref="N377:N379" si="78">L377-120</f>
        <v>46014</v>
      </c>
      <c r="O377" s="11" t="s">
        <v>30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34.5" customHeight="1" x14ac:dyDescent="0.25">
      <c r="A378" s="54">
        <v>119</v>
      </c>
      <c r="B378" s="58">
        <v>38379</v>
      </c>
      <c r="C378" s="15">
        <v>2022</v>
      </c>
      <c r="D378" s="15" t="s">
        <v>613</v>
      </c>
      <c r="E378" s="8" t="s">
        <v>1004</v>
      </c>
      <c r="F378" s="8" t="s">
        <v>16</v>
      </c>
      <c r="G378" s="8" t="s">
        <v>1005</v>
      </c>
      <c r="H378" s="8"/>
      <c r="I378" s="15" t="s">
        <v>19</v>
      </c>
      <c r="J378" s="8"/>
      <c r="K378" s="10" t="s">
        <v>262</v>
      </c>
      <c r="L378" s="10">
        <v>46410</v>
      </c>
      <c r="M378" s="10">
        <v>46290</v>
      </c>
      <c r="N378" s="13">
        <f t="shared" si="78"/>
        <v>46290</v>
      </c>
      <c r="O378" s="11" t="str">
        <f t="shared" ref="O378:O380" ca="1" si="79">IF(L378&gt;TODAY(),"Válida",IF(ISBLANK(L378),"Andamento",IF(L378&lt;TODAY(),"Vencida",IF(L378-TODAY()&lt;90,"URGENTE",IF(L378-TODAY()&lt;150,"RENOVAÇÃO",)))))</f>
        <v>Válida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34.5" customHeight="1" x14ac:dyDescent="0.25">
      <c r="A379" s="54">
        <v>120</v>
      </c>
      <c r="B379" s="55">
        <v>122</v>
      </c>
      <c r="C379" s="8">
        <v>2024</v>
      </c>
      <c r="D379" s="8" t="s">
        <v>1006</v>
      </c>
      <c r="E379" s="8" t="s">
        <v>1007</v>
      </c>
      <c r="F379" s="8" t="s">
        <v>238</v>
      </c>
      <c r="G379" s="8" t="s">
        <v>1008</v>
      </c>
      <c r="H379" s="8"/>
      <c r="I379" s="15" t="s">
        <v>19</v>
      </c>
      <c r="J379" s="8"/>
      <c r="K379" s="10" t="s">
        <v>21</v>
      </c>
      <c r="L379" s="10">
        <v>46542</v>
      </c>
      <c r="M379" s="10">
        <v>46422</v>
      </c>
      <c r="N379" s="13">
        <f t="shared" si="78"/>
        <v>46422</v>
      </c>
      <c r="O379" s="11" t="str">
        <f t="shared" ca="1" si="79"/>
        <v>Válida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34.5" customHeight="1" x14ac:dyDescent="0.25">
      <c r="A380" s="54">
        <v>121</v>
      </c>
      <c r="B380" s="55">
        <v>14</v>
      </c>
      <c r="C380" s="8">
        <v>2023</v>
      </c>
      <c r="D380" s="8" t="s">
        <v>1009</v>
      </c>
      <c r="E380" s="8" t="s">
        <v>1010</v>
      </c>
      <c r="F380" s="8" t="s">
        <v>877</v>
      </c>
      <c r="G380" s="8" t="s">
        <v>432</v>
      </c>
      <c r="H380" s="8"/>
      <c r="I380" s="15" t="s">
        <v>19</v>
      </c>
      <c r="J380" s="8"/>
      <c r="K380" s="10" t="s">
        <v>878</v>
      </c>
      <c r="L380" s="10">
        <v>46987</v>
      </c>
      <c r="M380" s="10">
        <v>46235</v>
      </c>
      <c r="N380" s="13">
        <v>46865</v>
      </c>
      <c r="O380" s="11" t="str">
        <f t="shared" ca="1" si="79"/>
        <v>Válida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34.5" customHeight="1" x14ac:dyDescent="0.25">
      <c r="A381" s="54">
        <v>122</v>
      </c>
      <c r="B381" s="55">
        <v>259175790</v>
      </c>
      <c r="C381" s="8">
        <v>2025</v>
      </c>
      <c r="D381" s="8" t="s">
        <v>1011</v>
      </c>
      <c r="E381" s="8" t="s">
        <v>1012</v>
      </c>
      <c r="F381" s="8" t="s">
        <v>530</v>
      </c>
      <c r="G381" s="8" t="s">
        <v>432</v>
      </c>
      <c r="H381" s="8"/>
      <c r="I381" s="15" t="s">
        <v>19</v>
      </c>
      <c r="J381" s="8"/>
      <c r="K381" s="10" t="s">
        <v>21</v>
      </c>
      <c r="L381" s="10">
        <v>46421</v>
      </c>
      <c r="M381" s="10">
        <v>46298</v>
      </c>
      <c r="N381" s="10">
        <v>46298</v>
      </c>
      <c r="O381" s="11" t="s">
        <v>30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34.5" customHeight="1" x14ac:dyDescent="0.25">
      <c r="A382" s="54">
        <v>122</v>
      </c>
      <c r="B382" s="55" t="s">
        <v>1013</v>
      </c>
      <c r="C382" s="8">
        <v>2024</v>
      </c>
      <c r="D382" s="8" t="s">
        <v>1014</v>
      </c>
      <c r="E382" s="8" t="s">
        <v>1015</v>
      </c>
      <c r="F382" s="8" t="s">
        <v>530</v>
      </c>
      <c r="G382" s="8" t="s">
        <v>1016</v>
      </c>
      <c r="H382" s="8"/>
      <c r="I382" s="15" t="s">
        <v>19</v>
      </c>
      <c r="J382" s="8"/>
      <c r="K382" s="10" t="s">
        <v>21</v>
      </c>
      <c r="L382" s="10">
        <v>46116</v>
      </c>
      <c r="M382" s="10">
        <v>45995</v>
      </c>
      <c r="N382" s="10">
        <v>45995</v>
      </c>
      <c r="O382" s="11" t="str">
        <f t="shared" ref="O382:O386" ca="1" si="80">IF(L382&gt;TODAY(),"Válida",IF(ISBLANK(L382),"Andamento",IF(L382&lt;TODAY(),"Vencida",IF(L382-TODAY()&lt;90,"URGENTE",IF(L382-TODAY()&lt;150,"RENOVAÇÃO",)))))</f>
        <v>Válida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34.5" customHeight="1" x14ac:dyDescent="0.25">
      <c r="A383" s="54">
        <v>123</v>
      </c>
      <c r="B383" s="55">
        <v>6673</v>
      </c>
      <c r="C383" s="8">
        <v>2022</v>
      </c>
      <c r="D383" s="8" t="s">
        <v>1017</v>
      </c>
      <c r="E383" s="8" t="s">
        <v>1018</v>
      </c>
      <c r="F383" s="8" t="s">
        <v>16</v>
      </c>
      <c r="G383" s="8" t="s">
        <v>67</v>
      </c>
      <c r="H383" s="8"/>
      <c r="I383" s="15" t="s">
        <v>40</v>
      </c>
      <c r="J383" s="8"/>
      <c r="K383" s="10" t="s">
        <v>21</v>
      </c>
      <c r="L383" s="10">
        <v>46641</v>
      </c>
      <c r="M383" s="10">
        <v>46521</v>
      </c>
      <c r="N383" s="13">
        <f>L383-120</f>
        <v>46521</v>
      </c>
      <c r="O383" s="11" t="str">
        <f t="shared" ca="1" si="80"/>
        <v>Válida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34.5" customHeight="1" x14ac:dyDescent="0.25">
      <c r="A384" s="54">
        <v>124</v>
      </c>
      <c r="B384" s="55" t="s">
        <v>1753</v>
      </c>
      <c r="C384" s="8">
        <v>2025</v>
      </c>
      <c r="D384" s="8" t="s">
        <v>1019</v>
      </c>
      <c r="E384" s="8" t="s">
        <v>1020</v>
      </c>
      <c r="F384" s="8" t="s">
        <v>1021</v>
      </c>
      <c r="G384" s="8" t="s">
        <v>48</v>
      </c>
      <c r="H384" s="8"/>
      <c r="I384" s="15" t="s">
        <v>19</v>
      </c>
      <c r="J384" s="8"/>
      <c r="K384" s="10" t="s">
        <v>21</v>
      </c>
      <c r="L384" s="10">
        <v>46744</v>
      </c>
      <c r="M384" s="10">
        <v>46379</v>
      </c>
      <c r="N384" s="13">
        <v>46622</v>
      </c>
      <c r="O384" s="11" t="str">
        <f t="shared" ca="1" si="80"/>
        <v>Válida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34.5" customHeight="1" x14ac:dyDescent="0.25">
      <c r="A385" s="54">
        <v>125</v>
      </c>
      <c r="B385" s="55" t="s">
        <v>1022</v>
      </c>
      <c r="C385" s="8">
        <v>2024</v>
      </c>
      <c r="D385" s="8" t="s">
        <v>1023</v>
      </c>
      <c r="E385" s="8" t="s">
        <v>1024</v>
      </c>
      <c r="F385" s="8" t="s">
        <v>350</v>
      </c>
      <c r="G385" s="8" t="s">
        <v>142</v>
      </c>
      <c r="H385" s="8"/>
      <c r="I385" s="15" t="s">
        <v>19</v>
      </c>
      <c r="J385" s="8"/>
      <c r="K385" s="10" t="s">
        <v>21</v>
      </c>
      <c r="L385" s="10">
        <v>47915</v>
      </c>
      <c r="M385" s="10">
        <v>46454</v>
      </c>
      <c r="N385" s="13">
        <v>47795</v>
      </c>
      <c r="O385" s="11" t="str">
        <f t="shared" ca="1" si="80"/>
        <v>Válida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34.5" customHeight="1" x14ac:dyDescent="0.25">
      <c r="A386" s="54">
        <v>125</v>
      </c>
      <c r="B386" s="55" t="s">
        <v>1025</v>
      </c>
      <c r="C386" s="8">
        <v>2024</v>
      </c>
      <c r="D386" s="8" t="s">
        <v>1026</v>
      </c>
      <c r="E386" s="8" t="s">
        <v>1027</v>
      </c>
      <c r="F386" s="8" t="s">
        <v>350</v>
      </c>
      <c r="G386" s="8" t="s">
        <v>1028</v>
      </c>
      <c r="H386" s="8"/>
      <c r="I386" s="15" t="s">
        <v>19</v>
      </c>
      <c r="J386" s="8"/>
      <c r="K386" s="10" t="s">
        <v>21</v>
      </c>
      <c r="L386" s="10">
        <v>47915</v>
      </c>
      <c r="M386" s="10">
        <v>46454</v>
      </c>
      <c r="N386" s="10">
        <v>47795</v>
      </c>
      <c r="O386" s="11" t="str">
        <f t="shared" ca="1" si="80"/>
        <v>Válida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34.5" customHeight="1" x14ac:dyDescent="0.25">
      <c r="A387" s="54">
        <v>126</v>
      </c>
      <c r="B387" s="55" t="s">
        <v>1029</v>
      </c>
      <c r="C387" s="8">
        <v>2025</v>
      </c>
      <c r="D387" s="8" t="s">
        <v>1030</v>
      </c>
      <c r="E387" s="8" t="s">
        <v>1031</v>
      </c>
      <c r="F387" s="8" t="s">
        <v>238</v>
      </c>
      <c r="G387" s="8" t="s">
        <v>432</v>
      </c>
      <c r="H387" s="8"/>
      <c r="I387" s="15" t="s">
        <v>40</v>
      </c>
      <c r="J387" s="8"/>
      <c r="K387" s="10" t="s">
        <v>21</v>
      </c>
      <c r="L387" s="10">
        <v>46446</v>
      </c>
      <c r="M387" s="10">
        <v>46326</v>
      </c>
      <c r="N387" s="13">
        <f t="shared" ref="N387:N388" si="81">L387-120</f>
        <v>46326</v>
      </c>
      <c r="O387" s="11" t="s">
        <v>181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34.5" customHeight="1" x14ac:dyDescent="0.25">
      <c r="A388" s="54">
        <v>127</v>
      </c>
      <c r="B388" s="55">
        <v>24752</v>
      </c>
      <c r="C388" s="8">
        <v>2024</v>
      </c>
      <c r="D388" s="8" t="s">
        <v>1032</v>
      </c>
      <c r="E388" s="8" t="s">
        <v>1033</v>
      </c>
      <c r="F388" s="8" t="s">
        <v>16</v>
      </c>
      <c r="G388" s="8" t="s">
        <v>142</v>
      </c>
      <c r="H388" s="8"/>
      <c r="I388" s="15" t="s">
        <v>19</v>
      </c>
      <c r="J388" s="8"/>
      <c r="K388" s="10" t="s">
        <v>262</v>
      </c>
      <c r="L388" s="10">
        <v>46691</v>
      </c>
      <c r="M388" s="10">
        <v>46326</v>
      </c>
      <c r="N388" s="13">
        <f t="shared" si="81"/>
        <v>46571</v>
      </c>
      <c r="O388" s="11" t="s">
        <v>30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34.5" customHeight="1" x14ac:dyDescent="0.25">
      <c r="A389" s="54">
        <v>127</v>
      </c>
      <c r="B389" s="55">
        <v>28200</v>
      </c>
      <c r="C389" s="8">
        <v>2025</v>
      </c>
      <c r="D389" s="8" t="s">
        <v>1032</v>
      </c>
      <c r="E389" s="8" t="s">
        <v>1034</v>
      </c>
      <c r="F389" s="8" t="s">
        <v>16</v>
      </c>
      <c r="G389" s="8" t="s">
        <v>142</v>
      </c>
      <c r="H389" s="8"/>
      <c r="I389" s="15" t="s">
        <v>19</v>
      </c>
      <c r="J389" s="8"/>
      <c r="K389" s="10" t="s">
        <v>262</v>
      </c>
      <c r="L389" s="10">
        <v>46305</v>
      </c>
      <c r="M389" s="10">
        <v>46183</v>
      </c>
      <c r="N389" s="13">
        <v>46183</v>
      </c>
      <c r="O389" s="11" t="s">
        <v>30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34.5" customHeight="1" x14ac:dyDescent="0.25">
      <c r="A390" s="54">
        <v>128</v>
      </c>
      <c r="B390" s="55">
        <v>3566</v>
      </c>
      <c r="C390" s="8">
        <v>2016</v>
      </c>
      <c r="D390" s="8" t="s">
        <v>1035</v>
      </c>
      <c r="E390" s="8" t="s">
        <v>1036</v>
      </c>
      <c r="F390" s="8" t="s">
        <v>16</v>
      </c>
      <c r="G390" s="9" t="s">
        <v>17</v>
      </c>
      <c r="H390" s="8"/>
      <c r="I390" s="15" t="s">
        <v>19</v>
      </c>
      <c r="J390" s="8"/>
      <c r="K390" s="10" t="s">
        <v>21</v>
      </c>
      <c r="L390" s="10">
        <v>47090</v>
      </c>
      <c r="M390" s="10">
        <v>46359</v>
      </c>
      <c r="N390" s="13">
        <v>46968</v>
      </c>
      <c r="O390" s="11" t="str">
        <f ca="1">IF(L390&gt;TODAY(),"Válida",IF(ISBLANK(L390),"Andamento",IF(L390&lt;TODAY(),"Vencida",IF(L390-TODAY()&lt;90,"URGENTE",IF(L390-TODAY()&lt;150,"RENOVAÇÃO",)))))</f>
        <v>Válida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34.5" customHeight="1" x14ac:dyDescent="0.25">
      <c r="A391" s="54">
        <v>129</v>
      </c>
      <c r="B391" s="56">
        <v>3245</v>
      </c>
      <c r="C391" s="8">
        <v>2015</v>
      </c>
      <c r="D391" s="8" t="s">
        <v>1037</v>
      </c>
      <c r="E391" s="8" t="s">
        <v>1038</v>
      </c>
      <c r="F391" s="8" t="s">
        <v>16</v>
      </c>
      <c r="G391" s="8" t="s">
        <v>58</v>
      </c>
      <c r="H391" s="8"/>
      <c r="I391" s="8" t="s">
        <v>19</v>
      </c>
      <c r="J391" s="8"/>
      <c r="K391" s="10" t="s">
        <v>21</v>
      </c>
      <c r="L391" s="10">
        <v>45203</v>
      </c>
      <c r="M391" s="10">
        <v>45083</v>
      </c>
      <c r="N391" s="10">
        <f t="shared" ref="N391:N392" si="82">L391-120</f>
        <v>45083</v>
      </c>
      <c r="O391" s="11" t="s">
        <v>922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34.5" customHeight="1" x14ac:dyDescent="0.25">
      <c r="A392" s="54">
        <v>129</v>
      </c>
      <c r="B392" s="56">
        <v>3245</v>
      </c>
      <c r="C392" s="8">
        <v>2015</v>
      </c>
      <c r="D392" s="8" t="s">
        <v>1037</v>
      </c>
      <c r="E392" s="8" t="s">
        <v>1038</v>
      </c>
      <c r="F392" s="8" t="s">
        <v>16</v>
      </c>
      <c r="G392" s="8" t="s">
        <v>58</v>
      </c>
      <c r="H392" s="8"/>
      <c r="I392" s="8" t="s">
        <v>599</v>
      </c>
      <c r="J392" s="8"/>
      <c r="K392" s="10" t="s">
        <v>21</v>
      </c>
      <c r="L392" s="10">
        <v>45508</v>
      </c>
      <c r="M392" s="10">
        <v>45022</v>
      </c>
      <c r="N392" s="10">
        <f t="shared" si="82"/>
        <v>45388</v>
      </c>
      <c r="O392" s="11" t="str">
        <f t="shared" ref="O392:O397" ca="1" si="83">IF(L392&gt;TODAY(),"Válida",IF(ISBLANK(L392),"Andamento",IF(L392&lt;TODAY(),"Vencida",IF(L392-TODAY()&lt;90,"URGENTE",IF(L392-TODAY()&lt;150,"RENOVAÇÃO",)))))</f>
        <v>Vencida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34.5" customHeight="1" x14ac:dyDescent="0.25">
      <c r="A393" s="54">
        <v>130</v>
      </c>
      <c r="B393" s="56" t="s">
        <v>1777</v>
      </c>
      <c r="C393" s="8">
        <v>2024</v>
      </c>
      <c r="D393" s="8" t="s">
        <v>1039</v>
      </c>
      <c r="E393" s="8" t="s">
        <v>1040</v>
      </c>
      <c r="F393" s="8" t="s">
        <v>16</v>
      </c>
      <c r="G393" s="8" t="s">
        <v>473</v>
      </c>
      <c r="H393" s="8"/>
      <c r="I393" s="8" t="s">
        <v>112</v>
      </c>
      <c r="J393" s="8"/>
      <c r="K393" s="10" t="s">
        <v>21</v>
      </c>
      <c r="L393" s="10">
        <v>47152</v>
      </c>
      <c r="M393" s="66">
        <v>46421</v>
      </c>
      <c r="N393" s="10">
        <v>47029</v>
      </c>
      <c r="O393" s="11" t="str">
        <f t="shared" ca="1" si="83"/>
        <v>Válida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34.5" customHeight="1" x14ac:dyDescent="0.25">
      <c r="A394" s="54">
        <v>131</v>
      </c>
      <c r="B394" s="56">
        <v>93</v>
      </c>
      <c r="C394" s="8">
        <v>2024</v>
      </c>
      <c r="D394" s="15" t="s">
        <v>1041</v>
      </c>
      <c r="E394" s="15" t="s">
        <v>1042</v>
      </c>
      <c r="F394" s="15" t="s">
        <v>193</v>
      </c>
      <c r="G394" s="15" t="s">
        <v>48</v>
      </c>
      <c r="H394" s="8"/>
      <c r="I394" s="8" t="s">
        <v>19</v>
      </c>
      <c r="J394" s="8"/>
      <c r="K394" s="10" t="s">
        <v>21</v>
      </c>
      <c r="L394" s="10">
        <v>47062</v>
      </c>
      <c r="M394" s="10">
        <v>46331</v>
      </c>
      <c r="N394" s="10">
        <f t="shared" ref="N394:N397" si="84">L394-120</f>
        <v>46942</v>
      </c>
      <c r="O394" s="11" t="str">
        <f t="shared" ca="1" si="83"/>
        <v>Válida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34.5" customHeight="1" x14ac:dyDescent="0.25">
      <c r="A395" s="54">
        <v>132</v>
      </c>
      <c r="B395" s="56" t="s">
        <v>1774</v>
      </c>
      <c r="C395" s="8">
        <v>2026</v>
      </c>
      <c r="D395" s="15" t="s">
        <v>1043</v>
      </c>
      <c r="E395" s="15" t="s">
        <v>1044</v>
      </c>
      <c r="F395" s="15" t="s">
        <v>402</v>
      </c>
      <c r="G395" s="15" t="s">
        <v>48</v>
      </c>
      <c r="H395" s="8"/>
      <c r="I395" s="8" t="s">
        <v>19</v>
      </c>
      <c r="J395" s="8"/>
      <c r="K395" s="10" t="s">
        <v>21</v>
      </c>
      <c r="L395" s="10">
        <v>46417</v>
      </c>
      <c r="M395" s="10">
        <v>46295</v>
      </c>
      <c r="N395" s="10">
        <v>46295</v>
      </c>
      <c r="O395" s="11" t="str">
        <f t="shared" ca="1" si="83"/>
        <v>Válida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34.5" customHeight="1" x14ac:dyDescent="0.25">
      <c r="A396" s="54">
        <v>133</v>
      </c>
      <c r="B396" s="56">
        <v>6755</v>
      </c>
      <c r="C396" s="8">
        <v>2022</v>
      </c>
      <c r="D396" s="15" t="s">
        <v>1045</v>
      </c>
      <c r="E396" s="15" t="s">
        <v>1046</v>
      </c>
      <c r="F396" s="15" t="s">
        <v>16</v>
      </c>
      <c r="G396" s="15" t="s">
        <v>17</v>
      </c>
      <c r="H396" s="8"/>
      <c r="I396" s="8" t="s">
        <v>163</v>
      </c>
      <c r="J396" s="8"/>
      <c r="K396" s="10" t="s">
        <v>21</v>
      </c>
      <c r="L396" s="10">
        <v>46238</v>
      </c>
      <c r="M396" s="10">
        <v>46118</v>
      </c>
      <c r="N396" s="10">
        <f t="shared" si="84"/>
        <v>46118</v>
      </c>
      <c r="O396" s="11" t="str">
        <f t="shared" ca="1" si="83"/>
        <v>Válida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34.5" customHeight="1" x14ac:dyDescent="0.25">
      <c r="A397" s="54">
        <v>134</v>
      </c>
      <c r="B397" s="56">
        <v>39</v>
      </c>
      <c r="C397" s="8">
        <v>2021</v>
      </c>
      <c r="D397" s="15" t="s">
        <v>1047</v>
      </c>
      <c r="E397" s="15" t="s">
        <v>1048</v>
      </c>
      <c r="F397" s="15" t="s">
        <v>502</v>
      </c>
      <c r="G397" s="15" t="s">
        <v>217</v>
      </c>
      <c r="H397" s="8"/>
      <c r="I397" s="8" t="s">
        <v>19</v>
      </c>
      <c r="J397" s="8"/>
      <c r="K397" s="10" t="s">
        <v>21</v>
      </c>
      <c r="L397" s="10">
        <v>46512</v>
      </c>
      <c r="M397" s="10">
        <v>46147</v>
      </c>
      <c r="N397" s="10">
        <f t="shared" si="84"/>
        <v>46392</v>
      </c>
      <c r="O397" s="11" t="str">
        <f t="shared" ca="1" si="83"/>
        <v>Válida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34.5" customHeight="1" x14ac:dyDescent="0.25">
      <c r="A398" s="54">
        <v>135</v>
      </c>
      <c r="B398" s="57" t="s">
        <v>1049</v>
      </c>
      <c r="C398" s="8">
        <v>2024</v>
      </c>
      <c r="D398" s="15" t="s">
        <v>1050</v>
      </c>
      <c r="E398" s="15" t="s">
        <v>966</v>
      </c>
      <c r="F398" s="15" t="s">
        <v>16</v>
      </c>
      <c r="G398" s="15" t="s">
        <v>544</v>
      </c>
      <c r="H398" s="8"/>
      <c r="I398" s="8" t="s">
        <v>19</v>
      </c>
      <c r="J398" s="8"/>
      <c r="K398" s="10" t="s">
        <v>262</v>
      </c>
      <c r="L398" s="10">
        <v>47151</v>
      </c>
      <c r="M398" s="10">
        <v>46420</v>
      </c>
      <c r="N398" s="10">
        <v>47028</v>
      </c>
      <c r="O398" s="11" t="s">
        <v>30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34.5" customHeight="1" x14ac:dyDescent="0.25">
      <c r="A399" s="54">
        <v>135</v>
      </c>
      <c r="B399" s="57">
        <v>1279</v>
      </c>
      <c r="C399" s="8">
        <v>2007</v>
      </c>
      <c r="D399" s="15" t="s">
        <v>1050</v>
      </c>
      <c r="E399" s="15" t="s">
        <v>1051</v>
      </c>
      <c r="F399" s="15" t="s">
        <v>16</v>
      </c>
      <c r="G399" s="15" t="s">
        <v>544</v>
      </c>
      <c r="H399" s="8"/>
      <c r="I399" s="8" t="s">
        <v>19</v>
      </c>
      <c r="J399" s="8"/>
      <c r="K399" s="10" t="s">
        <v>21</v>
      </c>
      <c r="L399" s="10">
        <v>47925</v>
      </c>
      <c r="M399" s="10">
        <v>46464</v>
      </c>
      <c r="N399" s="10">
        <f t="shared" ref="N399" si="85">L399-120</f>
        <v>47805</v>
      </c>
      <c r="O399" s="11" t="str">
        <f t="shared" ref="O399" ca="1" si="86">IF(L399&gt;TODAY(),"Válida",IF(ISBLANK(L399),"Andamento",IF(L399&lt;TODAY(),"Vencida",IF(L399-TODAY()&lt;90,"URGENTE",IF(L399-TODAY()&lt;150,"RENOVAÇÃO",)))))</f>
        <v>Válida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34.5" customHeight="1" x14ac:dyDescent="0.25">
      <c r="A400" s="54">
        <v>136</v>
      </c>
      <c r="B400" s="55">
        <v>44886</v>
      </c>
      <c r="C400" s="187">
        <v>2023</v>
      </c>
      <c r="D400" s="187" t="s">
        <v>1052</v>
      </c>
      <c r="E400" s="187" t="s">
        <v>1053</v>
      </c>
      <c r="F400" s="187" t="s">
        <v>104</v>
      </c>
      <c r="G400" s="187" t="s">
        <v>1054</v>
      </c>
      <c r="H400" s="187"/>
      <c r="I400" s="187" t="s">
        <v>19</v>
      </c>
      <c r="J400" s="187"/>
      <c r="K400" s="188" t="s">
        <v>262</v>
      </c>
      <c r="L400" s="188">
        <v>47468</v>
      </c>
      <c r="M400" s="189">
        <v>46372</v>
      </c>
      <c r="N400" s="190">
        <f>L400-120</f>
        <v>47348</v>
      </c>
      <c r="O400" s="191" t="s">
        <v>30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34.5" customHeight="1" x14ac:dyDescent="0.25">
      <c r="A401" s="54">
        <v>136</v>
      </c>
      <c r="B401" s="55">
        <v>4254</v>
      </c>
      <c r="C401" s="8">
        <v>2020</v>
      </c>
      <c r="D401" s="8" t="s">
        <v>1052</v>
      </c>
      <c r="E401" s="8" t="s">
        <v>1053</v>
      </c>
      <c r="F401" s="8" t="s">
        <v>104</v>
      </c>
      <c r="G401" s="8" t="s">
        <v>1054</v>
      </c>
      <c r="H401" s="8"/>
      <c r="I401" s="8" t="s">
        <v>19</v>
      </c>
      <c r="J401" s="8"/>
      <c r="K401" s="10" t="s">
        <v>21</v>
      </c>
      <c r="L401" s="10">
        <v>46610</v>
      </c>
      <c r="M401" s="33">
        <v>46245</v>
      </c>
      <c r="N401" s="13">
        <v>46488</v>
      </c>
      <c r="O401" s="11" t="s">
        <v>30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34.5" customHeight="1" x14ac:dyDescent="0.25">
      <c r="A402" s="54">
        <v>137</v>
      </c>
      <c r="B402" s="57" t="s">
        <v>1822</v>
      </c>
      <c r="C402" s="8">
        <v>2025</v>
      </c>
      <c r="D402" s="15" t="s">
        <v>1055</v>
      </c>
      <c r="E402" s="15" t="s">
        <v>1056</v>
      </c>
      <c r="F402" s="15" t="s">
        <v>276</v>
      </c>
      <c r="G402" s="15" t="s">
        <v>48</v>
      </c>
      <c r="H402" s="8"/>
      <c r="I402" s="8" t="s">
        <v>19</v>
      </c>
      <c r="J402" s="8"/>
      <c r="K402" s="10" t="s">
        <v>21</v>
      </c>
      <c r="L402" s="10">
        <v>46373</v>
      </c>
      <c r="M402" s="10">
        <v>46253</v>
      </c>
      <c r="N402" s="10">
        <f t="shared" ref="N402:N404" si="87">L402-120</f>
        <v>46253</v>
      </c>
      <c r="O402" s="11" t="str">
        <f ca="1">IF(L402&gt;TODAY(),"Válida",IF(ISBLANK(L402),"Andamento",IF(L402&lt;TODAY(),"Vencida",IF(L402-TODAY()&lt;90,"URGENTE",IF(L402-TODAY()&lt;150,"RENOVAÇÃO",)))))</f>
        <v>Válida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34.5" customHeight="1" x14ac:dyDescent="0.25">
      <c r="A403" s="54">
        <v>138</v>
      </c>
      <c r="B403" s="57">
        <v>3915</v>
      </c>
      <c r="C403" s="8">
        <v>2017</v>
      </c>
      <c r="D403" s="15" t="s">
        <v>1057</v>
      </c>
      <c r="E403" s="15" t="s">
        <v>1058</v>
      </c>
      <c r="F403" s="15" t="s">
        <v>16</v>
      </c>
      <c r="G403" s="15" t="s">
        <v>258</v>
      </c>
      <c r="H403" s="8"/>
      <c r="I403" s="8" t="s">
        <v>19</v>
      </c>
      <c r="J403" s="8"/>
      <c r="K403" s="10" t="s">
        <v>21</v>
      </c>
      <c r="L403" s="10">
        <v>45988</v>
      </c>
      <c r="M403" s="10">
        <v>45868</v>
      </c>
      <c r="N403" s="10">
        <f t="shared" si="87"/>
        <v>45868</v>
      </c>
      <c r="O403" s="11" t="s">
        <v>30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34.5" customHeight="1" x14ac:dyDescent="0.25">
      <c r="A404" s="54">
        <v>139</v>
      </c>
      <c r="B404" s="57">
        <v>317</v>
      </c>
      <c r="C404" s="8">
        <v>2024</v>
      </c>
      <c r="D404" s="15" t="s">
        <v>1059</v>
      </c>
      <c r="E404" s="15" t="s">
        <v>1060</v>
      </c>
      <c r="F404" s="15" t="s">
        <v>238</v>
      </c>
      <c r="G404" s="15" t="s">
        <v>287</v>
      </c>
      <c r="H404" s="8"/>
      <c r="I404" s="8" t="s">
        <v>19</v>
      </c>
      <c r="J404" s="8"/>
      <c r="K404" s="10" t="s">
        <v>21</v>
      </c>
      <c r="L404" s="10">
        <v>46719</v>
      </c>
      <c r="M404" s="10">
        <v>45869</v>
      </c>
      <c r="N404" s="10">
        <f t="shared" si="87"/>
        <v>46599</v>
      </c>
      <c r="O404" s="11" t="str">
        <f t="shared" ref="O404:O410" ca="1" si="88">IF(L404&gt;TODAY(),"Válida",IF(ISBLANK(L404),"Andamento",IF(L404&lt;TODAY(),"Vencida",IF(L404-TODAY()&lt;90,"URGENTE",IF(L404-TODAY()&lt;150,"RENOVAÇÃO",)))))</f>
        <v>Válida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34.5" customHeight="1" x14ac:dyDescent="0.25">
      <c r="A405" s="54">
        <v>139</v>
      </c>
      <c r="B405" s="57">
        <v>28</v>
      </c>
      <c r="C405" s="8">
        <v>2022</v>
      </c>
      <c r="D405" s="15" t="s">
        <v>1061</v>
      </c>
      <c r="E405" s="15" t="s">
        <v>1062</v>
      </c>
      <c r="F405" s="15" t="s">
        <v>877</v>
      </c>
      <c r="G405" s="15" t="s">
        <v>58</v>
      </c>
      <c r="H405" s="8"/>
      <c r="I405" s="8" t="s">
        <v>19</v>
      </c>
      <c r="J405" s="8"/>
      <c r="K405" s="10" t="s">
        <v>878</v>
      </c>
      <c r="L405" s="10">
        <v>46082</v>
      </c>
      <c r="M405" s="10">
        <v>45962</v>
      </c>
      <c r="N405" s="10">
        <v>45962</v>
      </c>
      <c r="O405" s="11" t="str">
        <f t="shared" ca="1" si="88"/>
        <v>Vencida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34.5" customHeight="1" x14ac:dyDescent="0.25">
      <c r="A406" s="54">
        <v>140</v>
      </c>
      <c r="B406" s="57" t="s">
        <v>1063</v>
      </c>
      <c r="C406" s="8">
        <v>2025</v>
      </c>
      <c r="D406" s="15" t="s">
        <v>1064</v>
      </c>
      <c r="E406" s="15" t="s">
        <v>1065</v>
      </c>
      <c r="F406" s="15" t="s">
        <v>350</v>
      </c>
      <c r="G406" s="15" t="s">
        <v>58</v>
      </c>
      <c r="H406" s="8"/>
      <c r="I406" s="8" t="s">
        <v>19</v>
      </c>
      <c r="J406" s="8"/>
      <c r="K406" s="10" t="s">
        <v>21</v>
      </c>
      <c r="L406" s="10">
        <v>46209</v>
      </c>
      <c r="M406" s="10">
        <v>46087</v>
      </c>
      <c r="N406" s="10">
        <v>46087</v>
      </c>
      <c r="O406" s="11" t="str">
        <f t="shared" ca="1" si="88"/>
        <v>Válida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34.5" customHeight="1" x14ac:dyDescent="0.25">
      <c r="A407" s="54">
        <v>141</v>
      </c>
      <c r="B407" s="57">
        <v>61</v>
      </c>
      <c r="C407" s="8">
        <v>2022</v>
      </c>
      <c r="D407" s="15" t="s">
        <v>1066</v>
      </c>
      <c r="E407" s="15" t="s">
        <v>1067</v>
      </c>
      <c r="F407" s="15" t="s">
        <v>732</v>
      </c>
      <c r="G407" s="15" t="s">
        <v>48</v>
      </c>
      <c r="H407" s="8"/>
      <c r="I407" s="8" t="s">
        <v>19</v>
      </c>
      <c r="J407" s="8"/>
      <c r="K407" s="10" t="s">
        <v>736</v>
      </c>
      <c r="L407" s="10">
        <v>46232</v>
      </c>
      <c r="M407" s="10">
        <v>45839</v>
      </c>
      <c r="N407" s="10">
        <f t="shared" ref="N407:N416" si="89">L407-120</f>
        <v>46112</v>
      </c>
      <c r="O407" s="11" t="str">
        <f t="shared" ca="1" si="88"/>
        <v>Válida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34.5" customHeight="1" x14ac:dyDescent="0.25">
      <c r="A408" s="54">
        <v>142</v>
      </c>
      <c r="B408" s="56" t="s">
        <v>1776</v>
      </c>
      <c r="C408" s="9">
        <v>2025</v>
      </c>
      <c r="D408" s="9" t="s">
        <v>1068</v>
      </c>
      <c r="E408" s="9" t="s">
        <v>1069</v>
      </c>
      <c r="F408" s="9" t="s">
        <v>877</v>
      </c>
      <c r="G408" s="9" t="s">
        <v>48</v>
      </c>
      <c r="H408" s="8" t="s">
        <v>417</v>
      </c>
      <c r="I408" s="9" t="s">
        <v>19</v>
      </c>
      <c r="J408" s="9" t="s">
        <v>517</v>
      </c>
      <c r="K408" s="9" t="s">
        <v>878</v>
      </c>
      <c r="L408" s="13">
        <v>46428</v>
      </c>
      <c r="M408" s="13">
        <v>46305</v>
      </c>
      <c r="N408" s="13">
        <f t="shared" si="89"/>
        <v>46308</v>
      </c>
      <c r="O408" s="11" t="str">
        <f t="shared" ca="1" si="88"/>
        <v>Válida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34.5" customHeight="1" x14ac:dyDescent="0.25">
      <c r="A409" s="54">
        <v>143</v>
      </c>
      <c r="B409" s="57">
        <v>4935</v>
      </c>
      <c r="C409" s="8">
        <v>2019</v>
      </c>
      <c r="D409" s="15" t="s">
        <v>1070</v>
      </c>
      <c r="E409" s="15" t="s">
        <v>1071</v>
      </c>
      <c r="F409" s="15" t="s">
        <v>16</v>
      </c>
      <c r="G409" s="15" t="s">
        <v>407</v>
      </c>
      <c r="H409" s="8"/>
      <c r="I409" s="8" t="s">
        <v>19</v>
      </c>
      <c r="J409" s="8"/>
      <c r="K409" s="10" t="s">
        <v>21</v>
      </c>
      <c r="L409" s="10">
        <v>47915</v>
      </c>
      <c r="M409" s="10">
        <v>46454</v>
      </c>
      <c r="N409" s="10">
        <f t="shared" si="89"/>
        <v>47795</v>
      </c>
      <c r="O409" s="11" t="str">
        <f t="shared" ca="1" si="88"/>
        <v>Válida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34.5" customHeight="1" x14ac:dyDescent="0.25">
      <c r="A410" s="54">
        <v>144</v>
      </c>
      <c r="B410" s="57">
        <v>37369</v>
      </c>
      <c r="C410" s="8">
        <v>2022</v>
      </c>
      <c r="D410" s="15" t="s">
        <v>1072</v>
      </c>
      <c r="E410" s="15" t="s">
        <v>1073</v>
      </c>
      <c r="F410" s="15" t="s">
        <v>954</v>
      </c>
      <c r="G410" s="15" t="s">
        <v>407</v>
      </c>
      <c r="H410" s="67"/>
      <c r="I410" s="8" t="s">
        <v>19</v>
      </c>
      <c r="J410" s="67"/>
      <c r="K410" s="10" t="s">
        <v>262</v>
      </c>
      <c r="L410" s="10">
        <v>46627</v>
      </c>
      <c r="M410" s="10">
        <v>46235</v>
      </c>
      <c r="N410" s="10">
        <f t="shared" si="89"/>
        <v>46507</v>
      </c>
      <c r="O410" s="11" t="str">
        <f t="shared" ca="1" si="88"/>
        <v>Válida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34.5" customHeight="1" x14ac:dyDescent="0.25">
      <c r="A411" s="54">
        <v>144</v>
      </c>
      <c r="B411" s="55">
        <v>39634</v>
      </c>
      <c r="C411" s="8">
        <v>2022</v>
      </c>
      <c r="D411" s="8" t="s">
        <v>1074</v>
      </c>
      <c r="E411" s="8" t="s">
        <v>1075</v>
      </c>
      <c r="F411" s="8" t="s">
        <v>189</v>
      </c>
      <c r="G411" s="8" t="s">
        <v>67</v>
      </c>
      <c r="H411" s="8" t="s">
        <v>417</v>
      </c>
      <c r="I411" s="8" t="s">
        <v>19</v>
      </c>
      <c r="J411" s="8" t="s">
        <v>628</v>
      </c>
      <c r="K411" s="10" t="s">
        <v>262</v>
      </c>
      <c r="L411" s="10">
        <v>47006</v>
      </c>
      <c r="M411" s="10">
        <v>46266</v>
      </c>
      <c r="N411" s="13">
        <f t="shared" si="89"/>
        <v>46886</v>
      </c>
      <c r="O411" s="11" t="str">
        <f t="shared" ref="O411:O418" ca="1" si="90">IF(L411&gt;TODAY(),"Válida",IF(ISBLANK(L411),"Andamento",IF(L411&lt;TODAY(),"Vencida",IF(L411-TODAY()&lt;90,"URGENTE",IF(L411-TODAY()&lt;150,"RENOVAÇÃO",)))))</f>
        <v>Válida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34.5" customHeight="1" x14ac:dyDescent="0.25">
      <c r="A412" s="54">
        <v>145</v>
      </c>
      <c r="B412" s="55">
        <v>1</v>
      </c>
      <c r="C412" s="8">
        <v>2025</v>
      </c>
      <c r="D412" s="8" t="s">
        <v>1076</v>
      </c>
      <c r="E412" s="8" t="s">
        <v>1077</v>
      </c>
      <c r="F412" s="8" t="s">
        <v>482</v>
      </c>
      <c r="G412" s="8" t="s">
        <v>48</v>
      </c>
      <c r="H412" s="67"/>
      <c r="I412" s="8" t="s">
        <v>19</v>
      </c>
      <c r="J412" s="67"/>
      <c r="K412" s="10" t="s">
        <v>21</v>
      </c>
      <c r="L412" s="10">
        <v>47153</v>
      </c>
      <c r="M412" s="10">
        <v>46422</v>
      </c>
      <c r="N412" s="13">
        <f t="shared" si="89"/>
        <v>47033</v>
      </c>
      <c r="O412" s="11" t="str">
        <f t="shared" ca="1" si="90"/>
        <v>Válida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34.5" customHeight="1" x14ac:dyDescent="0.25">
      <c r="A413" s="54">
        <v>146</v>
      </c>
      <c r="B413" s="55">
        <v>22</v>
      </c>
      <c r="C413" s="8">
        <v>2021</v>
      </c>
      <c r="D413" s="8" t="s">
        <v>797</v>
      </c>
      <c r="E413" s="8" t="s">
        <v>798</v>
      </c>
      <c r="F413" s="8" t="s">
        <v>404</v>
      </c>
      <c r="G413" s="8" t="s">
        <v>799</v>
      </c>
      <c r="H413" s="8" t="s">
        <v>417</v>
      </c>
      <c r="I413" s="8" t="s">
        <v>19</v>
      </c>
      <c r="J413" s="8" t="s">
        <v>710</v>
      </c>
      <c r="K413" s="10" t="s">
        <v>21</v>
      </c>
      <c r="L413" s="10">
        <v>45426</v>
      </c>
      <c r="M413" s="14">
        <v>45306</v>
      </c>
      <c r="N413" s="13">
        <f t="shared" si="89"/>
        <v>45306</v>
      </c>
      <c r="O413" s="11" t="str">
        <f t="shared" ca="1" si="90"/>
        <v>Vencida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34.5" customHeight="1" x14ac:dyDescent="0.25">
      <c r="A414" s="54">
        <v>146</v>
      </c>
      <c r="B414" s="55">
        <v>28</v>
      </c>
      <c r="C414" s="8">
        <v>2021</v>
      </c>
      <c r="D414" s="8" t="s">
        <v>800</v>
      </c>
      <c r="E414" s="8" t="s">
        <v>801</v>
      </c>
      <c r="F414" s="8" t="s">
        <v>404</v>
      </c>
      <c r="G414" s="8" t="s">
        <v>802</v>
      </c>
      <c r="H414" s="8" t="s">
        <v>417</v>
      </c>
      <c r="I414" s="8" t="s">
        <v>19</v>
      </c>
      <c r="J414" s="8" t="s">
        <v>710</v>
      </c>
      <c r="K414" s="10" t="s">
        <v>21</v>
      </c>
      <c r="L414" s="10">
        <v>45426</v>
      </c>
      <c r="M414" s="14">
        <v>45306</v>
      </c>
      <c r="N414" s="13">
        <f t="shared" si="89"/>
        <v>45306</v>
      </c>
      <c r="O414" s="11" t="str">
        <f t="shared" ca="1" si="90"/>
        <v>Vencida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34.5" customHeight="1" x14ac:dyDescent="0.25">
      <c r="A415" s="54">
        <v>147</v>
      </c>
      <c r="B415" s="56">
        <v>12516</v>
      </c>
      <c r="C415" s="9">
        <v>2020</v>
      </c>
      <c r="D415" s="9" t="s">
        <v>928</v>
      </c>
      <c r="E415" s="9" t="s">
        <v>1078</v>
      </c>
      <c r="F415" s="9" t="s">
        <v>402</v>
      </c>
      <c r="G415" s="9" t="s">
        <v>67</v>
      </c>
      <c r="H415" s="8" t="s">
        <v>417</v>
      </c>
      <c r="I415" s="9" t="s">
        <v>19</v>
      </c>
      <c r="J415" s="9" t="s">
        <v>970</v>
      </c>
      <c r="K415" s="13" t="s">
        <v>262</v>
      </c>
      <c r="L415" s="13">
        <v>45678</v>
      </c>
      <c r="M415" s="13">
        <v>45536</v>
      </c>
      <c r="N415" s="13">
        <f t="shared" si="89"/>
        <v>45558</v>
      </c>
      <c r="O415" s="11" t="str">
        <f t="shared" ca="1" si="90"/>
        <v>Vencida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34.5" customHeight="1" x14ac:dyDescent="0.25">
      <c r="A416" s="54">
        <v>148</v>
      </c>
      <c r="B416" s="56">
        <v>10554</v>
      </c>
      <c r="C416" s="9">
        <v>2022</v>
      </c>
      <c r="D416" s="9" t="s">
        <v>931</v>
      </c>
      <c r="E416" s="9" t="s">
        <v>1079</v>
      </c>
      <c r="F416" s="8" t="s">
        <v>402</v>
      </c>
      <c r="G416" s="9" t="s">
        <v>67</v>
      </c>
      <c r="H416" s="8"/>
      <c r="I416" s="9" t="s">
        <v>19</v>
      </c>
      <c r="J416" s="9"/>
      <c r="K416" s="13" t="s">
        <v>262</v>
      </c>
      <c r="L416" s="13">
        <v>46277</v>
      </c>
      <c r="M416" s="13">
        <v>46157</v>
      </c>
      <c r="N416" s="13">
        <f t="shared" si="89"/>
        <v>46157</v>
      </c>
      <c r="O416" s="11" t="str">
        <f t="shared" ca="1" si="90"/>
        <v>Válida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34.5" customHeight="1" x14ac:dyDescent="0.25">
      <c r="A417" s="54">
        <v>149</v>
      </c>
      <c r="B417" s="56" t="s">
        <v>1080</v>
      </c>
      <c r="C417" s="9">
        <v>2025</v>
      </c>
      <c r="D417" s="9" t="s">
        <v>1081</v>
      </c>
      <c r="E417" s="9" t="s">
        <v>1082</v>
      </c>
      <c r="F417" s="8" t="s">
        <v>16</v>
      </c>
      <c r="G417" s="9" t="s">
        <v>1028</v>
      </c>
      <c r="H417" s="8"/>
      <c r="I417" s="9" t="s">
        <v>19</v>
      </c>
      <c r="J417" s="9"/>
      <c r="K417" s="13" t="s">
        <v>828</v>
      </c>
      <c r="L417" s="13">
        <v>46254</v>
      </c>
      <c r="M417" s="13">
        <v>46132</v>
      </c>
      <c r="N417" s="13">
        <v>46132</v>
      </c>
      <c r="O417" s="11" t="str">
        <f t="shared" ca="1" si="90"/>
        <v>Válida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34.5" customHeight="1" x14ac:dyDescent="0.25">
      <c r="A418" s="54">
        <v>150</v>
      </c>
      <c r="B418" s="55">
        <v>5597</v>
      </c>
      <c r="C418" s="21">
        <v>2020</v>
      </c>
      <c r="D418" s="8" t="s">
        <v>1083</v>
      </c>
      <c r="E418" s="8" t="s">
        <v>862</v>
      </c>
      <c r="F418" s="8" t="s">
        <v>16</v>
      </c>
      <c r="G418" s="8" t="s">
        <v>17</v>
      </c>
      <c r="H418" s="8"/>
      <c r="I418" s="8" t="s">
        <v>599</v>
      </c>
      <c r="J418" s="8"/>
      <c r="K418" s="8" t="s">
        <v>21</v>
      </c>
      <c r="L418" s="10">
        <v>45617</v>
      </c>
      <c r="M418" s="10">
        <v>45497</v>
      </c>
      <c r="N418" s="13">
        <f t="shared" ref="N418:N419" si="91">L418-120</f>
        <v>45497</v>
      </c>
      <c r="O418" s="11" t="str">
        <f t="shared" ca="1" si="90"/>
        <v>Vencida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34.5" customHeight="1" x14ac:dyDescent="0.25">
      <c r="A419" s="54">
        <v>150</v>
      </c>
      <c r="B419" s="55">
        <v>128</v>
      </c>
      <c r="C419" s="21">
        <v>2003</v>
      </c>
      <c r="D419" s="8" t="s">
        <v>860</v>
      </c>
      <c r="E419" s="8" t="s">
        <v>862</v>
      </c>
      <c r="F419" s="8" t="s">
        <v>16</v>
      </c>
      <c r="G419" s="8" t="s">
        <v>17</v>
      </c>
      <c r="H419" s="8" t="s">
        <v>417</v>
      </c>
      <c r="I419" s="8" t="s">
        <v>19</v>
      </c>
      <c r="J419" s="8" t="s">
        <v>1084</v>
      </c>
      <c r="K419" s="10" t="s">
        <v>21</v>
      </c>
      <c r="L419" s="10">
        <v>45727</v>
      </c>
      <c r="M419" s="10">
        <v>45607</v>
      </c>
      <c r="N419" s="13">
        <f t="shared" si="91"/>
        <v>45607</v>
      </c>
      <c r="O419" s="11" t="s">
        <v>30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34.5" customHeight="1" x14ac:dyDescent="0.25">
      <c r="A420" s="54">
        <v>151</v>
      </c>
      <c r="B420" s="55">
        <v>7404</v>
      </c>
      <c r="C420" s="21">
        <v>2023</v>
      </c>
      <c r="D420" s="8" t="s">
        <v>1085</v>
      </c>
      <c r="E420" s="8" t="s">
        <v>1086</v>
      </c>
      <c r="F420" s="8" t="s">
        <v>16</v>
      </c>
      <c r="G420" s="8" t="s">
        <v>154</v>
      </c>
      <c r="H420" s="67"/>
      <c r="I420" s="8" t="s">
        <v>19</v>
      </c>
      <c r="J420" s="67"/>
      <c r="K420" s="10" t="s">
        <v>21</v>
      </c>
      <c r="L420" s="10">
        <v>45582</v>
      </c>
      <c r="M420" s="10">
        <v>45460</v>
      </c>
      <c r="N420" s="10">
        <v>45460</v>
      </c>
      <c r="O420" s="11" t="s">
        <v>246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34.5" customHeight="1" x14ac:dyDescent="0.25">
      <c r="A421" s="54">
        <v>152</v>
      </c>
      <c r="B421" s="55">
        <v>7589</v>
      </c>
      <c r="C421" s="21">
        <v>2023</v>
      </c>
      <c r="D421" s="8" t="s">
        <v>1087</v>
      </c>
      <c r="E421" s="8" t="s">
        <v>1088</v>
      </c>
      <c r="F421" s="8" t="s">
        <v>16</v>
      </c>
      <c r="G421" s="8" t="s">
        <v>17</v>
      </c>
      <c r="H421" s="67"/>
      <c r="I421" s="8" t="s">
        <v>1338</v>
      </c>
      <c r="J421" s="67"/>
      <c r="K421" s="10" t="s">
        <v>21</v>
      </c>
      <c r="L421" s="10" t="s">
        <v>91</v>
      </c>
      <c r="M421" s="10" t="s">
        <v>91</v>
      </c>
      <c r="N421" s="10" t="s">
        <v>91</v>
      </c>
      <c r="O421" s="22" t="s">
        <v>30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34.5" customHeight="1" x14ac:dyDescent="0.25">
      <c r="A422" s="54">
        <v>152</v>
      </c>
      <c r="B422" s="55">
        <v>7610</v>
      </c>
      <c r="C422" s="21">
        <v>2023</v>
      </c>
      <c r="D422" s="8" t="s">
        <v>1089</v>
      </c>
      <c r="E422" s="8" t="s">
        <v>1088</v>
      </c>
      <c r="F422" s="8" t="s">
        <v>16</v>
      </c>
      <c r="G422" s="8" t="s">
        <v>17</v>
      </c>
      <c r="H422" s="67"/>
      <c r="I422" s="8" t="s">
        <v>40</v>
      </c>
      <c r="J422" s="67"/>
      <c r="K422" s="10" t="s">
        <v>21</v>
      </c>
      <c r="L422" s="10">
        <v>46357</v>
      </c>
      <c r="M422" s="10">
        <v>46235</v>
      </c>
      <c r="N422" s="10">
        <v>46235</v>
      </c>
      <c r="O422" s="22" t="s">
        <v>30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34.5" customHeight="1" x14ac:dyDescent="0.25">
      <c r="A423" s="54">
        <v>153</v>
      </c>
      <c r="B423" s="55" t="s">
        <v>1090</v>
      </c>
      <c r="C423" s="8">
        <v>2022</v>
      </c>
      <c r="D423" s="8" t="s">
        <v>1091</v>
      </c>
      <c r="E423" s="8" t="s">
        <v>1092</v>
      </c>
      <c r="F423" s="8" t="s">
        <v>530</v>
      </c>
      <c r="G423" s="8" t="s">
        <v>432</v>
      </c>
      <c r="H423" s="9"/>
      <c r="I423" s="8" t="s">
        <v>49</v>
      </c>
      <c r="J423" s="8"/>
      <c r="K423" s="10" t="s">
        <v>21</v>
      </c>
      <c r="L423" s="10">
        <v>45868</v>
      </c>
      <c r="M423" s="10">
        <v>45748</v>
      </c>
      <c r="N423" s="10">
        <v>45748</v>
      </c>
      <c r="O423" s="11" t="s">
        <v>30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34.5" customHeight="1" x14ac:dyDescent="0.25">
      <c r="A424" s="54">
        <v>154</v>
      </c>
      <c r="B424" s="55">
        <v>6541</v>
      </c>
      <c r="C424" s="8">
        <v>2023</v>
      </c>
      <c r="D424" s="8" t="s">
        <v>1093</v>
      </c>
      <c r="E424" s="8" t="s">
        <v>1094</v>
      </c>
      <c r="F424" s="8" t="s">
        <v>16</v>
      </c>
      <c r="G424" s="8" t="s">
        <v>58</v>
      </c>
      <c r="H424" s="68"/>
      <c r="I424" s="8" t="s">
        <v>19</v>
      </c>
      <c r="J424" s="67"/>
      <c r="K424" s="10" t="s">
        <v>21</v>
      </c>
      <c r="L424" s="10">
        <v>45835</v>
      </c>
      <c r="M424" s="10">
        <v>45715</v>
      </c>
      <c r="N424" s="10">
        <v>45715</v>
      </c>
      <c r="O424" s="11" t="s">
        <v>30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34.5" customHeight="1" x14ac:dyDescent="0.25">
      <c r="A425" s="54">
        <v>155</v>
      </c>
      <c r="B425" s="55">
        <v>38503</v>
      </c>
      <c r="C425" s="8">
        <v>2022</v>
      </c>
      <c r="D425" s="8" t="s">
        <v>1095</v>
      </c>
      <c r="E425" s="8" t="s">
        <v>1096</v>
      </c>
      <c r="F425" s="8" t="s">
        <v>216</v>
      </c>
      <c r="G425" s="8" t="s">
        <v>892</v>
      </c>
      <c r="H425" s="68"/>
      <c r="I425" s="8" t="s">
        <v>19</v>
      </c>
      <c r="J425" s="67"/>
      <c r="K425" s="10" t="s">
        <v>262</v>
      </c>
      <c r="L425" s="10">
        <v>46489</v>
      </c>
      <c r="M425" s="10">
        <v>46113</v>
      </c>
      <c r="N425" s="10">
        <v>46368</v>
      </c>
      <c r="O425" s="11" t="s">
        <v>30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34.5" customHeight="1" x14ac:dyDescent="0.25">
      <c r="A426" s="54">
        <v>155</v>
      </c>
      <c r="B426" s="55">
        <v>14242</v>
      </c>
      <c r="C426" s="8">
        <v>2023</v>
      </c>
      <c r="D426" s="8" t="s">
        <v>140</v>
      </c>
      <c r="E426" s="8" t="s">
        <v>141</v>
      </c>
      <c r="F426" s="8" t="s">
        <v>16</v>
      </c>
      <c r="G426" s="8" t="s">
        <v>17</v>
      </c>
      <c r="H426" s="68"/>
      <c r="I426" s="8" t="s">
        <v>112</v>
      </c>
      <c r="J426" s="67"/>
      <c r="K426" s="10" t="s">
        <v>262</v>
      </c>
      <c r="L426" s="10">
        <v>46707</v>
      </c>
      <c r="M426" s="10">
        <v>46327</v>
      </c>
      <c r="N426" s="10">
        <v>46584</v>
      </c>
      <c r="O426" s="11" t="s">
        <v>30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34.5" customHeight="1" x14ac:dyDescent="0.25">
      <c r="A427" s="54">
        <v>156</v>
      </c>
      <c r="B427" s="55">
        <v>7782</v>
      </c>
      <c r="C427" s="8">
        <v>2023</v>
      </c>
      <c r="D427" s="8" t="s">
        <v>1097</v>
      </c>
      <c r="E427" s="8" t="s">
        <v>1098</v>
      </c>
      <c r="F427" s="8" t="s">
        <v>16</v>
      </c>
      <c r="G427" s="8" t="s">
        <v>17</v>
      </c>
      <c r="H427" s="68"/>
      <c r="I427" s="8" t="s">
        <v>19</v>
      </c>
      <c r="J427" s="67"/>
      <c r="K427" s="10" t="s">
        <v>21</v>
      </c>
      <c r="L427" s="10">
        <v>46165</v>
      </c>
      <c r="M427" s="10">
        <v>46045</v>
      </c>
      <c r="N427" s="10">
        <v>46045</v>
      </c>
      <c r="O427" s="11" t="s">
        <v>30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34.5" customHeight="1" x14ac:dyDescent="0.25">
      <c r="A428" s="54">
        <v>157</v>
      </c>
      <c r="B428" s="55">
        <v>2149</v>
      </c>
      <c r="C428" s="187">
        <v>2012</v>
      </c>
      <c r="D428" s="187" t="s">
        <v>1099</v>
      </c>
      <c r="E428" s="187" t="s">
        <v>1100</v>
      </c>
      <c r="F428" s="187" t="s">
        <v>16</v>
      </c>
      <c r="G428" s="187" t="s">
        <v>1101</v>
      </c>
      <c r="H428" s="199"/>
      <c r="I428" s="187" t="s">
        <v>19</v>
      </c>
      <c r="J428" s="200"/>
      <c r="K428" s="188" t="s">
        <v>21</v>
      </c>
      <c r="L428" s="188">
        <v>46403</v>
      </c>
      <c r="M428" s="188">
        <v>46281</v>
      </c>
      <c r="N428" s="10">
        <v>46281</v>
      </c>
      <c r="O428" s="11" t="s">
        <v>30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34.5" customHeight="1" x14ac:dyDescent="0.25">
      <c r="A429" s="54">
        <v>158</v>
      </c>
      <c r="B429" s="55">
        <v>2284</v>
      </c>
      <c r="C429" s="8">
        <v>2012</v>
      </c>
      <c r="D429" s="8" t="s">
        <v>1102</v>
      </c>
      <c r="E429" s="8" t="s">
        <v>1103</v>
      </c>
      <c r="F429" s="8" t="s">
        <v>16</v>
      </c>
      <c r="G429" s="8" t="s">
        <v>1101</v>
      </c>
      <c r="H429" s="68"/>
      <c r="I429" s="8" t="s">
        <v>599</v>
      </c>
      <c r="J429" s="67"/>
      <c r="K429" s="10" t="s">
        <v>21</v>
      </c>
      <c r="L429" s="10">
        <v>46228</v>
      </c>
      <c r="M429" s="10">
        <v>46106</v>
      </c>
      <c r="N429" s="10">
        <v>46106</v>
      </c>
      <c r="O429" s="11" t="s">
        <v>30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34.5" customHeight="1" x14ac:dyDescent="0.25">
      <c r="A430" s="54">
        <v>158</v>
      </c>
      <c r="B430" s="55">
        <v>2284</v>
      </c>
      <c r="C430" s="8">
        <v>2012</v>
      </c>
      <c r="D430" s="8" t="s">
        <v>1102</v>
      </c>
      <c r="E430" s="8" t="s">
        <v>1104</v>
      </c>
      <c r="F430" s="8" t="s">
        <v>16</v>
      </c>
      <c r="G430" s="8" t="s">
        <v>1101</v>
      </c>
      <c r="H430" s="68"/>
      <c r="I430" s="8" t="s">
        <v>19</v>
      </c>
      <c r="J430" s="67"/>
      <c r="K430" s="69" t="s">
        <v>21</v>
      </c>
      <c r="L430" s="10">
        <v>45887</v>
      </c>
      <c r="M430" s="10">
        <v>45765</v>
      </c>
      <c r="N430" s="10">
        <v>45765</v>
      </c>
      <c r="O430" s="11" t="s">
        <v>30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34.5" customHeight="1" x14ac:dyDescent="0.25">
      <c r="A431" s="54">
        <v>159</v>
      </c>
      <c r="B431" s="55" t="s">
        <v>1778</v>
      </c>
      <c r="C431" s="8">
        <v>2025</v>
      </c>
      <c r="D431" s="8" t="s">
        <v>1105</v>
      </c>
      <c r="E431" s="8" t="s">
        <v>1106</v>
      </c>
      <c r="F431" s="8" t="s">
        <v>16</v>
      </c>
      <c r="G431" s="8" t="s">
        <v>142</v>
      </c>
      <c r="H431" s="68"/>
      <c r="I431" s="8" t="s">
        <v>19</v>
      </c>
      <c r="J431" s="67"/>
      <c r="K431" s="10" t="s">
        <v>21</v>
      </c>
      <c r="L431" s="10">
        <v>47152</v>
      </c>
      <c r="M431" s="10">
        <v>46422</v>
      </c>
      <c r="N431" s="10">
        <v>47029</v>
      </c>
      <c r="O431" s="11" t="s">
        <v>30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34.5" customHeight="1" x14ac:dyDescent="0.25">
      <c r="A432" s="54">
        <v>160</v>
      </c>
      <c r="B432" s="55">
        <v>163</v>
      </c>
      <c r="C432" s="8">
        <v>2024</v>
      </c>
      <c r="D432" s="8" t="s">
        <v>1107</v>
      </c>
      <c r="E432" s="8" t="s">
        <v>1108</v>
      </c>
      <c r="F432" s="8" t="s">
        <v>1021</v>
      </c>
      <c r="G432" s="8" t="s">
        <v>1109</v>
      </c>
      <c r="H432" s="68"/>
      <c r="I432" s="8" t="s">
        <v>19</v>
      </c>
      <c r="J432" s="67"/>
      <c r="K432" s="10" t="s">
        <v>21</v>
      </c>
      <c r="L432" s="10">
        <v>46060</v>
      </c>
      <c r="M432" s="10">
        <v>45937</v>
      </c>
      <c r="N432" s="10">
        <v>45937</v>
      </c>
      <c r="O432" s="11" t="s">
        <v>30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31.5" customHeight="1" x14ac:dyDescent="0.25">
      <c r="A433" s="54">
        <v>160</v>
      </c>
      <c r="B433" s="55">
        <v>1574</v>
      </c>
      <c r="C433" s="8">
        <v>2023</v>
      </c>
      <c r="D433" s="8" t="s">
        <v>1110</v>
      </c>
      <c r="E433" s="8" t="s">
        <v>1108</v>
      </c>
      <c r="F433" s="8" t="s">
        <v>1021</v>
      </c>
      <c r="G433" s="8" t="s">
        <v>48</v>
      </c>
      <c r="H433" s="8"/>
      <c r="I433" s="8" t="s">
        <v>19</v>
      </c>
      <c r="J433" s="8"/>
      <c r="K433" s="10" t="s">
        <v>21</v>
      </c>
      <c r="L433" s="10">
        <v>45941</v>
      </c>
      <c r="M433" s="14">
        <v>45821</v>
      </c>
      <c r="N433" s="13">
        <f>L433-120</f>
        <v>45821</v>
      </c>
      <c r="O433" s="11" t="str">
        <f t="shared" ref="O433:O445" ca="1" si="92">IF(L433&gt;TODAY(),"Válida",IF(ISBLANK(L433),"Andamento",IF(L433&lt;TODAY(),"Vencida",IF(L433-TODAY()&lt;90,"URGENTE",IF(L433-TODAY()&lt;150,"RENOVAÇÃO",)))))</f>
        <v>Vencida</v>
      </c>
      <c r="P433" s="70"/>
      <c r="Q433" s="71"/>
      <c r="R433" s="72"/>
      <c r="S433" s="73"/>
      <c r="T433" s="72"/>
      <c r="U433" s="72"/>
      <c r="V433" s="72"/>
      <c r="W433" s="72"/>
      <c r="X433" s="72"/>
      <c r="Y433" s="72"/>
      <c r="Z433" s="72"/>
      <c r="AA433" s="72"/>
      <c r="AB433" s="74"/>
      <c r="AC433" s="75"/>
      <c r="AD433" s="74"/>
      <c r="AE433" s="76"/>
      <c r="AF433" s="72"/>
    </row>
    <row r="434" spans="1:39" ht="31.5" customHeight="1" x14ac:dyDescent="0.25">
      <c r="A434" s="54">
        <v>161</v>
      </c>
      <c r="B434" s="77" t="s">
        <v>1111</v>
      </c>
      <c r="C434" s="8">
        <v>2025</v>
      </c>
      <c r="D434" s="8" t="s">
        <v>1112</v>
      </c>
      <c r="E434" s="8" t="s">
        <v>1113</v>
      </c>
      <c r="F434" s="8" t="s">
        <v>16</v>
      </c>
      <c r="G434" s="8" t="s">
        <v>17</v>
      </c>
      <c r="H434" s="8"/>
      <c r="I434" s="8" t="s">
        <v>19</v>
      </c>
      <c r="J434" s="8"/>
      <c r="K434" s="10" t="s">
        <v>21</v>
      </c>
      <c r="L434" s="10">
        <v>46114</v>
      </c>
      <c r="M434" s="14">
        <v>45993</v>
      </c>
      <c r="N434" s="14">
        <v>45993</v>
      </c>
      <c r="O434" s="11" t="str">
        <f t="shared" ca="1" si="92"/>
        <v>Válida</v>
      </c>
      <c r="P434" s="70"/>
      <c r="Q434" s="71"/>
      <c r="R434" s="72"/>
      <c r="S434" s="73"/>
      <c r="T434" s="72"/>
      <c r="U434" s="72"/>
      <c r="V434" s="72"/>
      <c r="W434" s="72"/>
      <c r="X434" s="72"/>
      <c r="Y434" s="72"/>
      <c r="Z434" s="72"/>
      <c r="AA434" s="72"/>
      <c r="AB434" s="74"/>
      <c r="AC434" s="75"/>
      <c r="AD434" s="74"/>
      <c r="AE434" s="76"/>
      <c r="AF434" s="72"/>
    </row>
    <row r="435" spans="1:39" ht="31.5" customHeight="1" x14ac:dyDescent="0.25">
      <c r="A435" s="54">
        <v>162</v>
      </c>
      <c r="B435" s="77" t="s">
        <v>1114</v>
      </c>
      <c r="C435" s="8">
        <v>2024</v>
      </c>
      <c r="D435" s="8" t="s">
        <v>1115</v>
      </c>
      <c r="E435" s="8" t="s">
        <v>1116</v>
      </c>
      <c r="F435" s="8" t="s">
        <v>1117</v>
      </c>
      <c r="G435" s="8" t="s">
        <v>89</v>
      </c>
      <c r="H435" s="8"/>
      <c r="I435" s="8" t="s">
        <v>19</v>
      </c>
      <c r="J435" s="8"/>
      <c r="K435" s="10" t="s">
        <v>1118</v>
      </c>
      <c r="L435" s="10">
        <v>46234</v>
      </c>
      <c r="M435" s="14">
        <v>46112</v>
      </c>
      <c r="N435" s="14">
        <v>46112</v>
      </c>
      <c r="O435" s="11" t="str">
        <f t="shared" ca="1" si="92"/>
        <v>Válida</v>
      </c>
      <c r="P435" s="70"/>
      <c r="Q435" s="71"/>
      <c r="R435" s="72"/>
      <c r="S435" s="73"/>
      <c r="T435" s="72"/>
      <c r="U435" s="72"/>
      <c r="V435" s="72"/>
      <c r="W435" s="72"/>
      <c r="X435" s="72"/>
      <c r="Y435" s="72"/>
      <c r="Z435" s="72"/>
      <c r="AA435" s="72"/>
      <c r="AB435" s="74"/>
      <c r="AC435" s="75"/>
      <c r="AD435" s="74"/>
      <c r="AE435" s="76"/>
      <c r="AF435" s="72"/>
    </row>
    <row r="436" spans="1:39" ht="31.5" customHeight="1" x14ac:dyDescent="0.25">
      <c r="A436" s="54">
        <v>163</v>
      </c>
      <c r="B436" s="77" t="s">
        <v>1119</v>
      </c>
      <c r="C436" s="8">
        <v>2025</v>
      </c>
      <c r="D436" s="8" t="s">
        <v>1120</v>
      </c>
      <c r="E436" s="8" t="s">
        <v>1121</v>
      </c>
      <c r="F436" s="8" t="s">
        <v>350</v>
      </c>
      <c r="G436" s="8" t="s">
        <v>142</v>
      </c>
      <c r="H436" s="8"/>
      <c r="I436" s="8" t="s">
        <v>40</v>
      </c>
      <c r="J436" s="8"/>
      <c r="K436" s="10" t="s">
        <v>21</v>
      </c>
      <c r="L436" s="10">
        <v>46721</v>
      </c>
      <c r="M436" s="14">
        <v>46356</v>
      </c>
      <c r="N436" s="14">
        <v>46598</v>
      </c>
      <c r="O436" s="11" t="str">
        <f t="shared" ca="1" si="92"/>
        <v>Válida</v>
      </c>
      <c r="P436" s="70"/>
      <c r="Q436" s="71"/>
      <c r="R436" s="72"/>
      <c r="S436" s="73"/>
      <c r="T436" s="72"/>
      <c r="U436" s="72"/>
      <c r="V436" s="72"/>
      <c r="W436" s="72"/>
      <c r="X436" s="72"/>
      <c r="Y436" s="72"/>
      <c r="Z436" s="72"/>
      <c r="AA436" s="72"/>
      <c r="AB436" s="74"/>
      <c r="AC436" s="75"/>
      <c r="AD436" s="74"/>
      <c r="AE436" s="76"/>
      <c r="AF436" s="72"/>
    </row>
    <row r="437" spans="1:39" ht="31.5" customHeight="1" x14ac:dyDescent="0.25">
      <c r="A437" s="54">
        <v>164</v>
      </c>
      <c r="B437" s="77" t="s">
        <v>1122</v>
      </c>
      <c r="C437" s="8">
        <v>2025</v>
      </c>
      <c r="D437" s="8" t="s">
        <v>1123</v>
      </c>
      <c r="E437" s="8" t="s">
        <v>1124</v>
      </c>
      <c r="F437" s="8" t="s">
        <v>350</v>
      </c>
      <c r="G437" s="8" t="s">
        <v>142</v>
      </c>
      <c r="H437" s="8"/>
      <c r="I437" s="8" t="s">
        <v>347</v>
      </c>
      <c r="J437" s="8"/>
      <c r="K437" s="10" t="s">
        <v>21</v>
      </c>
      <c r="L437" s="10">
        <v>46311</v>
      </c>
      <c r="M437" s="14">
        <v>46189</v>
      </c>
      <c r="N437" s="14">
        <v>46189</v>
      </c>
      <c r="O437" s="11" t="str">
        <f t="shared" ca="1" si="92"/>
        <v>Válida</v>
      </c>
      <c r="P437" s="70"/>
      <c r="Q437" s="71"/>
      <c r="R437" s="72"/>
      <c r="S437" s="73"/>
      <c r="T437" s="72"/>
      <c r="U437" s="72"/>
      <c r="V437" s="72"/>
      <c r="W437" s="72"/>
      <c r="X437" s="72"/>
      <c r="Y437" s="72"/>
      <c r="Z437" s="72"/>
      <c r="AA437" s="72"/>
      <c r="AB437" s="74"/>
      <c r="AC437" s="75"/>
      <c r="AD437" s="74"/>
      <c r="AE437" s="76"/>
      <c r="AF437" s="72"/>
    </row>
    <row r="438" spans="1:39" ht="31.5" customHeight="1" x14ac:dyDescent="0.25">
      <c r="A438" s="54">
        <v>165</v>
      </c>
      <c r="B438" s="77" t="s">
        <v>1125</v>
      </c>
      <c r="C438" s="8">
        <v>2025</v>
      </c>
      <c r="D438" s="8" t="s">
        <v>1126</v>
      </c>
      <c r="E438" s="8" t="s">
        <v>1127</v>
      </c>
      <c r="F438" s="8" t="s">
        <v>350</v>
      </c>
      <c r="G438" s="8" t="s">
        <v>63</v>
      </c>
      <c r="H438" s="8"/>
      <c r="I438" s="62" t="s">
        <v>163</v>
      </c>
      <c r="K438" s="10" t="s">
        <v>21</v>
      </c>
      <c r="L438" s="10">
        <v>46683</v>
      </c>
      <c r="M438" s="14">
        <v>46196</v>
      </c>
      <c r="N438" s="14">
        <v>46561</v>
      </c>
      <c r="O438" s="11" t="str">
        <f t="shared" ca="1" si="92"/>
        <v>Válida</v>
      </c>
      <c r="P438" s="70"/>
      <c r="Q438" s="71"/>
      <c r="R438" s="72"/>
      <c r="S438" s="73"/>
      <c r="T438" s="72"/>
      <c r="U438" s="72"/>
      <c r="V438" s="72"/>
      <c r="W438" s="72"/>
      <c r="X438" s="72"/>
      <c r="Y438" s="72"/>
      <c r="Z438" s="72"/>
      <c r="AA438" s="72"/>
      <c r="AB438" s="74"/>
      <c r="AC438" s="75"/>
      <c r="AD438" s="74"/>
      <c r="AE438" s="76"/>
      <c r="AF438" s="72"/>
    </row>
    <row r="439" spans="1:39" ht="31.5" customHeight="1" x14ac:dyDescent="0.25">
      <c r="A439" s="54">
        <v>166</v>
      </c>
      <c r="B439" s="77" t="s">
        <v>1128</v>
      </c>
      <c r="C439" s="8">
        <v>2024</v>
      </c>
      <c r="D439" s="8" t="s">
        <v>234</v>
      </c>
      <c r="E439" s="8" t="s">
        <v>1129</v>
      </c>
      <c r="F439" s="8" t="s">
        <v>350</v>
      </c>
      <c r="G439" s="8" t="s">
        <v>63</v>
      </c>
      <c r="H439" s="8"/>
      <c r="I439" s="8" t="s">
        <v>163</v>
      </c>
      <c r="J439" s="8" t="s">
        <v>163</v>
      </c>
      <c r="K439" s="10" t="s">
        <v>21</v>
      </c>
      <c r="L439" s="10">
        <v>46690</v>
      </c>
      <c r="M439" s="14">
        <v>46203</v>
      </c>
      <c r="N439" s="14">
        <v>46568</v>
      </c>
      <c r="O439" s="11" t="str">
        <f t="shared" ca="1" si="92"/>
        <v>Válida</v>
      </c>
      <c r="P439" s="70"/>
      <c r="Q439" s="71"/>
      <c r="R439" s="72"/>
      <c r="S439" s="73"/>
      <c r="T439" s="72"/>
      <c r="U439" s="72"/>
      <c r="V439" s="72"/>
      <c r="W439" s="72"/>
      <c r="X439" s="72"/>
      <c r="Y439" s="72"/>
      <c r="Z439" s="72"/>
      <c r="AA439" s="72"/>
      <c r="AB439" s="74"/>
      <c r="AC439" s="75"/>
      <c r="AD439" s="74"/>
      <c r="AE439" s="76"/>
      <c r="AF439" s="72"/>
    </row>
    <row r="440" spans="1:39" ht="31.5" customHeight="1" x14ac:dyDescent="0.25">
      <c r="A440" s="54">
        <v>167</v>
      </c>
      <c r="B440" s="77" t="s">
        <v>1130</v>
      </c>
      <c r="C440" s="8">
        <v>2025</v>
      </c>
      <c r="D440" s="8" t="s">
        <v>1131</v>
      </c>
      <c r="E440" s="8" t="s">
        <v>1132</v>
      </c>
      <c r="F440" s="8" t="s">
        <v>402</v>
      </c>
      <c r="G440" s="8" t="s">
        <v>432</v>
      </c>
      <c r="H440" s="8"/>
      <c r="I440" s="8" t="s">
        <v>19</v>
      </c>
      <c r="J440" s="8"/>
      <c r="K440" s="10" t="s">
        <v>21</v>
      </c>
      <c r="L440" s="10">
        <v>46361</v>
      </c>
      <c r="M440" s="14">
        <v>46239</v>
      </c>
      <c r="N440" s="14">
        <v>46239</v>
      </c>
      <c r="O440" s="11" t="str">
        <f t="shared" ca="1" si="92"/>
        <v>Válida</v>
      </c>
      <c r="P440" s="70"/>
      <c r="Q440" s="71"/>
      <c r="R440" s="72"/>
      <c r="S440" s="73"/>
      <c r="T440" s="72"/>
      <c r="U440" s="72"/>
      <c r="V440" s="72"/>
      <c r="W440" s="72"/>
      <c r="X440" s="72"/>
      <c r="Y440" s="72"/>
      <c r="Z440" s="72"/>
      <c r="AA440" s="72"/>
      <c r="AB440" s="74"/>
      <c r="AC440" s="75"/>
      <c r="AD440" s="74"/>
      <c r="AE440" s="76"/>
      <c r="AF440" s="72"/>
    </row>
    <row r="441" spans="1:39" ht="31.5" customHeight="1" x14ac:dyDescent="0.25">
      <c r="A441" s="54">
        <v>168</v>
      </c>
      <c r="B441" s="77" t="s">
        <v>1756</v>
      </c>
      <c r="C441" s="8">
        <v>2025</v>
      </c>
      <c r="D441" s="8" t="s">
        <v>1757</v>
      </c>
      <c r="E441" s="8" t="s">
        <v>1758</v>
      </c>
      <c r="F441" s="8" t="s">
        <v>1759</v>
      </c>
      <c r="G441" s="8" t="s">
        <v>217</v>
      </c>
      <c r="H441" s="8"/>
      <c r="I441" s="8" t="s">
        <v>19</v>
      </c>
      <c r="J441" s="8"/>
      <c r="K441" s="10" t="s">
        <v>699</v>
      </c>
      <c r="L441" s="10">
        <v>47468</v>
      </c>
      <c r="M441" s="14">
        <v>46372</v>
      </c>
      <c r="N441" s="14">
        <v>47346</v>
      </c>
      <c r="O441" s="11" t="str">
        <f t="shared" ca="1" si="92"/>
        <v>Válida</v>
      </c>
      <c r="P441" s="70"/>
      <c r="Q441" s="71"/>
      <c r="R441" s="72"/>
      <c r="S441" s="73"/>
      <c r="T441" s="72"/>
      <c r="U441" s="72"/>
      <c r="V441" s="72"/>
      <c r="W441" s="72"/>
      <c r="X441" s="72"/>
      <c r="Y441" s="72"/>
      <c r="Z441" s="72"/>
      <c r="AA441" s="72"/>
      <c r="AB441" s="74"/>
      <c r="AC441" s="75"/>
      <c r="AD441" s="74"/>
      <c r="AE441" s="76"/>
      <c r="AF441" s="72"/>
    </row>
    <row r="442" spans="1:39" ht="31.5" customHeight="1" x14ac:dyDescent="0.25">
      <c r="A442" s="54">
        <v>168</v>
      </c>
      <c r="B442" s="77">
        <v>25110022051</v>
      </c>
      <c r="C442" s="8">
        <v>2025</v>
      </c>
      <c r="D442" s="8" t="s">
        <v>1757</v>
      </c>
      <c r="E442" s="8" t="s">
        <v>1758</v>
      </c>
      <c r="F442" s="8" t="s">
        <v>1759</v>
      </c>
      <c r="G442" s="8" t="s">
        <v>217</v>
      </c>
      <c r="H442" s="8"/>
      <c r="I442" s="8" t="s">
        <v>40</v>
      </c>
      <c r="J442" s="8"/>
      <c r="K442" s="10" t="s">
        <v>699</v>
      </c>
      <c r="L442" s="10"/>
      <c r="M442" s="14"/>
      <c r="N442" s="14"/>
      <c r="O442" s="11"/>
      <c r="P442" s="70"/>
      <c r="Q442" s="71"/>
      <c r="R442" s="72"/>
      <c r="S442" s="73"/>
      <c r="T442" s="72"/>
      <c r="U442" s="72"/>
      <c r="V442" s="72"/>
      <c r="W442" s="72"/>
      <c r="X442" s="72"/>
      <c r="Y442" s="72"/>
      <c r="Z442" s="72"/>
      <c r="AA442" s="72"/>
      <c r="AB442" s="74"/>
      <c r="AC442" s="75"/>
      <c r="AD442" s="74"/>
      <c r="AE442" s="76"/>
      <c r="AF442" s="72"/>
    </row>
    <row r="443" spans="1:39" ht="31.5" customHeight="1" x14ac:dyDescent="0.25">
      <c r="A443" s="54">
        <v>168</v>
      </c>
      <c r="B443" s="77" t="s">
        <v>1840</v>
      </c>
      <c r="C443" s="8">
        <v>2024</v>
      </c>
      <c r="D443" s="8" t="s">
        <v>1841</v>
      </c>
      <c r="E443" s="8" t="s">
        <v>1842</v>
      </c>
      <c r="F443" s="8" t="s">
        <v>482</v>
      </c>
      <c r="G443" s="8" t="s">
        <v>1761</v>
      </c>
      <c r="H443" s="8"/>
      <c r="I443" s="8" t="s">
        <v>19</v>
      </c>
      <c r="J443" s="8"/>
      <c r="K443" s="10" t="s">
        <v>21</v>
      </c>
      <c r="L443" s="10">
        <v>46831</v>
      </c>
      <c r="M443" s="14">
        <v>46100</v>
      </c>
      <c r="N443" s="14">
        <v>46710</v>
      </c>
      <c r="O443" s="11" t="str">
        <f t="shared" ca="1" si="92"/>
        <v>Válida</v>
      </c>
      <c r="P443" s="70"/>
      <c r="Q443" s="71"/>
      <c r="R443" s="72"/>
      <c r="S443" s="73"/>
      <c r="T443" s="72"/>
      <c r="U443" s="72"/>
      <c r="V443" s="72"/>
      <c r="W443" s="72"/>
      <c r="X443" s="72"/>
      <c r="Y443" s="72"/>
      <c r="Z443" s="72"/>
      <c r="AA443" s="72"/>
      <c r="AB443" s="74"/>
      <c r="AC443" s="75"/>
      <c r="AD443" s="74"/>
      <c r="AE443" s="76"/>
      <c r="AF443" s="72"/>
    </row>
    <row r="444" spans="1:39" ht="31.5" customHeight="1" x14ac:dyDescent="0.25">
      <c r="A444" s="54">
        <v>169</v>
      </c>
      <c r="B444" s="77" t="s">
        <v>1781</v>
      </c>
      <c r="C444" s="8">
        <v>2025</v>
      </c>
      <c r="D444" s="8" t="s">
        <v>1760</v>
      </c>
      <c r="E444" s="8" t="s">
        <v>1839</v>
      </c>
      <c r="F444" s="8" t="s">
        <v>482</v>
      </c>
      <c r="G444" s="8" t="s">
        <v>1761</v>
      </c>
      <c r="H444" s="8"/>
      <c r="I444" s="8" t="s">
        <v>19</v>
      </c>
      <c r="J444" s="8"/>
      <c r="K444" s="10" t="s">
        <v>262</v>
      </c>
      <c r="L444" s="10">
        <v>47522</v>
      </c>
      <c r="M444" s="14">
        <v>46426</v>
      </c>
      <c r="N444" s="14">
        <v>47399</v>
      </c>
      <c r="O444" s="11" t="str">
        <f t="shared" ca="1" si="92"/>
        <v>Válida</v>
      </c>
      <c r="P444" s="70"/>
      <c r="Q444" s="71"/>
      <c r="R444" s="72"/>
      <c r="S444" s="73"/>
      <c r="T444" s="72"/>
      <c r="U444" s="72"/>
      <c r="V444" s="72"/>
      <c r="W444" s="72"/>
      <c r="X444" s="72"/>
      <c r="Y444" s="72"/>
      <c r="Z444" s="72"/>
      <c r="AA444" s="72"/>
      <c r="AB444" s="74"/>
      <c r="AC444" s="75"/>
      <c r="AD444" s="74"/>
      <c r="AE444" s="76"/>
      <c r="AF444" s="72"/>
    </row>
    <row r="445" spans="1:39" ht="31.5" customHeight="1" x14ac:dyDescent="0.25">
      <c r="A445" s="54">
        <v>169</v>
      </c>
      <c r="B445" s="77" t="s">
        <v>1836</v>
      </c>
      <c r="C445" s="8">
        <v>2026</v>
      </c>
      <c r="D445" s="8" t="s">
        <v>1837</v>
      </c>
      <c r="E445" s="8" t="s">
        <v>1838</v>
      </c>
      <c r="F445" s="8" t="s">
        <v>16</v>
      </c>
      <c r="G445" s="8" t="s">
        <v>123</v>
      </c>
      <c r="H445" s="8"/>
      <c r="I445" s="8" t="s">
        <v>19</v>
      </c>
      <c r="J445" s="8"/>
      <c r="K445" s="10" t="s">
        <v>21</v>
      </c>
      <c r="L445" s="10">
        <v>47929</v>
      </c>
      <c r="M445" s="14">
        <v>46469</v>
      </c>
      <c r="N445" s="14">
        <v>47809</v>
      </c>
      <c r="O445" s="11" t="str">
        <f t="shared" ca="1" si="92"/>
        <v>Válida</v>
      </c>
      <c r="P445" s="70"/>
      <c r="Q445" s="71"/>
      <c r="R445" s="72"/>
      <c r="S445" s="73"/>
      <c r="T445" s="72"/>
      <c r="U445" s="72"/>
      <c r="V445" s="72"/>
      <c r="W445" s="72"/>
      <c r="X445" s="72"/>
      <c r="Y445" s="72"/>
      <c r="Z445" s="72"/>
      <c r="AA445" s="72"/>
      <c r="AB445" s="74"/>
      <c r="AC445" s="75"/>
      <c r="AD445" s="74"/>
      <c r="AE445" s="76"/>
      <c r="AF445" s="72"/>
    </row>
    <row r="446" spans="1:39" ht="31.5" customHeight="1" x14ac:dyDescent="0.25">
      <c r="A446" s="54">
        <v>170</v>
      </c>
      <c r="B446" s="77" t="s">
        <v>1810</v>
      </c>
      <c r="C446" s="8">
        <v>2026</v>
      </c>
      <c r="D446" s="8" t="s">
        <v>1316</v>
      </c>
      <c r="E446" s="8" t="s">
        <v>1317</v>
      </c>
      <c r="F446" s="8" t="s">
        <v>732</v>
      </c>
      <c r="G446" s="8" t="s">
        <v>432</v>
      </c>
      <c r="H446" s="8"/>
      <c r="I446" s="8" t="s">
        <v>19</v>
      </c>
      <c r="J446" s="8"/>
      <c r="K446" s="8" t="s">
        <v>21</v>
      </c>
      <c r="L446" s="10">
        <v>46963</v>
      </c>
      <c r="M446" s="10">
        <v>46577</v>
      </c>
      <c r="N446" s="10">
        <v>46841</v>
      </c>
      <c r="O446" s="11" t="s">
        <v>30</v>
      </c>
      <c r="P446" s="70"/>
      <c r="Q446" s="71"/>
      <c r="R446" s="72"/>
      <c r="S446" s="73"/>
      <c r="T446" s="72"/>
      <c r="U446" s="72"/>
      <c r="V446" s="72"/>
      <c r="W446" s="72"/>
      <c r="X446" s="72"/>
      <c r="Y446" s="72"/>
      <c r="Z446" s="72"/>
      <c r="AA446" s="72"/>
      <c r="AB446" s="74"/>
      <c r="AC446" s="75"/>
      <c r="AD446" s="74"/>
      <c r="AE446" s="76"/>
      <c r="AF446" s="72"/>
    </row>
    <row r="447" spans="1:39" ht="34.5" customHeight="1" x14ac:dyDescent="0.25">
      <c r="A447" s="1" t="s">
        <v>0</v>
      </c>
      <c r="B447" s="51" t="s">
        <v>1</v>
      </c>
      <c r="C447" s="2" t="s">
        <v>2</v>
      </c>
      <c r="D447" s="2" t="s">
        <v>3</v>
      </c>
      <c r="E447" s="2" t="s">
        <v>4</v>
      </c>
      <c r="F447" s="2" t="s">
        <v>5</v>
      </c>
      <c r="G447" s="2" t="s">
        <v>6</v>
      </c>
      <c r="H447" s="2" t="s">
        <v>7</v>
      </c>
      <c r="I447" s="2" t="s">
        <v>8</v>
      </c>
      <c r="J447" s="2" t="s">
        <v>9</v>
      </c>
      <c r="K447" s="2" t="s">
        <v>10</v>
      </c>
      <c r="L447" s="3" t="s">
        <v>11</v>
      </c>
      <c r="M447" s="3" t="s">
        <v>1820</v>
      </c>
      <c r="N447" s="4" t="s">
        <v>12</v>
      </c>
      <c r="O447" s="2" t="s">
        <v>13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34.5" customHeight="1" x14ac:dyDescent="0.25">
      <c r="A448" s="78">
        <v>1</v>
      </c>
      <c r="B448" s="79">
        <v>42495</v>
      </c>
      <c r="C448" s="8">
        <v>2024</v>
      </c>
      <c r="D448" s="8" t="s">
        <v>127</v>
      </c>
      <c r="E448" s="15" t="s">
        <v>27</v>
      </c>
      <c r="F448" s="8" t="s">
        <v>128</v>
      </c>
      <c r="G448" s="8" t="s">
        <v>129</v>
      </c>
      <c r="H448" s="8" t="s">
        <v>1133</v>
      </c>
      <c r="I448" s="8" t="s">
        <v>1134</v>
      </c>
      <c r="J448" s="9" t="s">
        <v>1135</v>
      </c>
      <c r="K448" s="10" t="s">
        <v>262</v>
      </c>
      <c r="L448" s="10">
        <v>49562</v>
      </c>
      <c r="M448" s="10">
        <v>46275</v>
      </c>
      <c r="N448" s="10">
        <f t="shared" ref="N448:N458" si="93">L448-180</f>
        <v>49382</v>
      </c>
      <c r="O448" s="11" t="str">
        <f t="shared" ref="O448:O465" ca="1" si="94">IF(L448&gt;TODAY(),"Válida",IF(ISBLANK(L448),"Andamento",IF(L448&lt;TODAY(),"Vencida",IF(L448-TODAY()&lt;90,"URGENTE",IF(L448-TODAY()&lt;150,"RENOVAÇÃO",)))))</f>
        <v>Válida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34.5" customHeight="1" x14ac:dyDescent="0.25">
      <c r="A449" s="78">
        <v>1</v>
      </c>
      <c r="B449" s="79">
        <v>41200</v>
      </c>
      <c r="C449" s="8">
        <v>2019</v>
      </c>
      <c r="D449" s="8" t="s">
        <v>334</v>
      </c>
      <c r="E449" s="8" t="s">
        <v>197</v>
      </c>
      <c r="F449" s="8" t="s">
        <v>328</v>
      </c>
      <c r="G449" s="8" t="s">
        <v>58</v>
      </c>
      <c r="H449" s="8" t="s">
        <v>1133</v>
      </c>
      <c r="I449" s="8" t="s">
        <v>1134</v>
      </c>
      <c r="J449" s="8" t="s">
        <v>201</v>
      </c>
      <c r="K449" s="10" t="s">
        <v>262</v>
      </c>
      <c r="L449" s="10">
        <v>45937</v>
      </c>
      <c r="M449" s="10">
        <v>46122</v>
      </c>
      <c r="N449" s="10">
        <f t="shared" si="93"/>
        <v>45757</v>
      </c>
      <c r="O449" s="11" t="str">
        <f t="shared" ca="1" si="94"/>
        <v>Vencida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34.5" customHeight="1" x14ac:dyDescent="0.25">
      <c r="A450" s="78">
        <v>1</v>
      </c>
      <c r="B450" s="79">
        <v>13707</v>
      </c>
      <c r="C450" s="16">
        <v>2021</v>
      </c>
      <c r="D450" s="16" t="s">
        <v>377</v>
      </c>
      <c r="E450" s="16" t="s">
        <v>27</v>
      </c>
      <c r="F450" s="16" t="s">
        <v>367</v>
      </c>
      <c r="G450" s="16" t="s">
        <v>368</v>
      </c>
      <c r="H450" s="16" t="s">
        <v>1136</v>
      </c>
      <c r="I450" s="16" t="s">
        <v>1134</v>
      </c>
      <c r="J450" s="16" t="s">
        <v>1137</v>
      </c>
      <c r="K450" s="19" t="s">
        <v>262</v>
      </c>
      <c r="L450" s="36">
        <v>46167</v>
      </c>
      <c r="M450" s="19">
        <v>46327</v>
      </c>
      <c r="N450" s="19">
        <f t="shared" si="93"/>
        <v>45987</v>
      </c>
      <c r="O450" s="20" t="str">
        <f t="shared" ca="1" si="94"/>
        <v>Válida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34.5" customHeight="1" x14ac:dyDescent="0.25">
      <c r="A451" s="78">
        <v>1</v>
      </c>
      <c r="B451" s="79">
        <v>20306</v>
      </c>
      <c r="C451" s="16">
        <v>2021</v>
      </c>
      <c r="D451" s="16" t="s">
        <v>373</v>
      </c>
      <c r="E451" s="16" t="s">
        <v>27</v>
      </c>
      <c r="F451" s="16" t="s">
        <v>367</v>
      </c>
      <c r="G451" s="16" t="s">
        <v>368</v>
      </c>
      <c r="H451" s="16" t="s">
        <v>1133</v>
      </c>
      <c r="I451" s="16" t="s">
        <v>1138</v>
      </c>
      <c r="J451" s="16" t="s">
        <v>1137</v>
      </c>
      <c r="K451" s="19" t="s">
        <v>262</v>
      </c>
      <c r="L451" s="19">
        <v>46245</v>
      </c>
      <c r="M451" s="19">
        <v>46065</v>
      </c>
      <c r="N451" s="19">
        <f t="shared" si="93"/>
        <v>46065</v>
      </c>
      <c r="O451" s="20" t="str">
        <f t="shared" ca="1" si="94"/>
        <v>Válida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34.5" customHeight="1" x14ac:dyDescent="0.25">
      <c r="A452" s="78">
        <v>1</v>
      </c>
      <c r="B452" s="79">
        <v>34090</v>
      </c>
      <c r="C452" s="16">
        <v>2020</v>
      </c>
      <c r="D452" s="16" t="s">
        <v>113</v>
      </c>
      <c r="E452" s="17" t="s">
        <v>27</v>
      </c>
      <c r="F452" s="16" t="s">
        <v>114</v>
      </c>
      <c r="G452" s="16" t="s">
        <v>1139</v>
      </c>
      <c r="H452" s="16" t="s">
        <v>1136</v>
      </c>
      <c r="I452" s="16" t="s">
        <v>1134</v>
      </c>
      <c r="J452" s="16" t="s">
        <v>83</v>
      </c>
      <c r="K452" s="19" t="s">
        <v>262</v>
      </c>
      <c r="L452" s="19">
        <v>46084</v>
      </c>
      <c r="M452" s="19">
        <v>46266</v>
      </c>
      <c r="N452" s="19">
        <f t="shared" si="93"/>
        <v>45904</v>
      </c>
      <c r="O452" s="20" t="str">
        <f t="shared" ca="1" si="94"/>
        <v>Vencida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34.5" customHeight="1" x14ac:dyDescent="0.25">
      <c r="A453" s="78">
        <v>1</v>
      </c>
      <c r="B453" s="79">
        <v>26867</v>
      </c>
      <c r="C453" s="8">
        <v>2020</v>
      </c>
      <c r="D453" s="8" t="s">
        <v>130</v>
      </c>
      <c r="E453" s="15" t="s">
        <v>27</v>
      </c>
      <c r="F453" s="8" t="s">
        <v>104</v>
      </c>
      <c r="G453" s="8" t="s">
        <v>131</v>
      </c>
      <c r="H453" s="8" t="s">
        <v>1133</v>
      </c>
      <c r="I453" s="8" t="s">
        <v>1134</v>
      </c>
      <c r="J453" s="8" t="s">
        <v>83</v>
      </c>
      <c r="K453" s="10" t="s">
        <v>262</v>
      </c>
      <c r="L453" s="10">
        <v>45937</v>
      </c>
      <c r="M453" s="10">
        <v>46122</v>
      </c>
      <c r="N453" s="10">
        <f t="shared" si="93"/>
        <v>45757</v>
      </c>
      <c r="O453" s="11" t="str">
        <f t="shared" ca="1" si="94"/>
        <v>Vencida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34.5" customHeight="1" x14ac:dyDescent="0.25">
      <c r="A454" s="78">
        <v>1</v>
      </c>
      <c r="B454" s="79">
        <v>3413</v>
      </c>
      <c r="C454" s="16">
        <v>2025</v>
      </c>
      <c r="D454" s="16" t="s">
        <v>103</v>
      </c>
      <c r="E454" s="17" t="s">
        <v>1787</v>
      </c>
      <c r="F454" s="16" t="s">
        <v>104</v>
      </c>
      <c r="G454" s="16" t="s">
        <v>1140</v>
      </c>
      <c r="H454" s="16" t="s">
        <v>1136</v>
      </c>
      <c r="I454" s="16" t="s">
        <v>1134</v>
      </c>
      <c r="J454" s="16" t="s">
        <v>83</v>
      </c>
      <c r="K454" s="19" t="s">
        <v>262</v>
      </c>
      <c r="L454" s="19">
        <v>49721</v>
      </c>
      <c r="M454" s="19">
        <v>46436</v>
      </c>
      <c r="N454" s="19">
        <f t="shared" si="93"/>
        <v>49541</v>
      </c>
      <c r="O454" s="20" t="str">
        <f t="shared" ca="1" si="94"/>
        <v>Válida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34.5" customHeight="1" x14ac:dyDescent="0.25">
      <c r="A455" s="78">
        <v>1</v>
      </c>
      <c r="B455" s="80">
        <v>37114</v>
      </c>
      <c r="C455" s="17">
        <v>2021</v>
      </c>
      <c r="D455" s="17" t="s">
        <v>139</v>
      </c>
      <c r="E455" s="17" t="s">
        <v>27</v>
      </c>
      <c r="F455" s="17" t="s">
        <v>104</v>
      </c>
      <c r="G455" s="17" t="s">
        <v>133</v>
      </c>
      <c r="H455" s="17"/>
      <c r="I455" s="17" t="s">
        <v>1134</v>
      </c>
      <c r="J455" s="17"/>
      <c r="K455" s="17" t="s">
        <v>262</v>
      </c>
      <c r="L455" s="36">
        <v>46404</v>
      </c>
      <c r="M455" s="19">
        <v>46204</v>
      </c>
      <c r="N455" s="19">
        <f t="shared" si="93"/>
        <v>46224</v>
      </c>
      <c r="O455" s="20" t="str">
        <f t="shared" ca="1" si="94"/>
        <v>Válida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34.5" customHeight="1" x14ac:dyDescent="0.25">
      <c r="A456" s="78">
        <v>1</v>
      </c>
      <c r="B456" s="79">
        <v>29923</v>
      </c>
      <c r="C456" s="16">
        <v>2021</v>
      </c>
      <c r="D456" s="16" t="s">
        <v>108</v>
      </c>
      <c r="E456" s="16" t="s">
        <v>27</v>
      </c>
      <c r="F456" s="16" t="s">
        <v>109</v>
      </c>
      <c r="G456" s="16" t="s">
        <v>1141</v>
      </c>
      <c r="H456" s="16" t="s">
        <v>1133</v>
      </c>
      <c r="I456" s="16" t="s">
        <v>1134</v>
      </c>
      <c r="J456" s="16" t="s">
        <v>1137</v>
      </c>
      <c r="K456" s="19" t="s">
        <v>262</v>
      </c>
      <c r="L456" s="19">
        <v>46314</v>
      </c>
      <c r="M456" s="19">
        <v>46113</v>
      </c>
      <c r="N456" s="19">
        <f t="shared" si="93"/>
        <v>46134</v>
      </c>
      <c r="O456" s="20" t="str">
        <f t="shared" ca="1" si="94"/>
        <v>Válida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34.5" customHeight="1" x14ac:dyDescent="0.25">
      <c r="A457" s="78">
        <v>1</v>
      </c>
      <c r="B457" s="81">
        <v>36887</v>
      </c>
      <c r="C457" s="29">
        <v>2020</v>
      </c>
      <c r="D457" s="29" t="s">
        <v>1142</v>
      </c>
      <c r="E457" s="29" t="s">
        <v>206</v>
      </c>
      <c r="F457" s="29" t="s">
        <v>223</v>
      </c>
      <c r="G457" s="29" t="s">
        <v>224</v>
      </c>
      <c r="H457" s="16" t="s">
        <v>1133</v>
      </c>
      <c r="I457" s="29" t="s">
        <v>1134</v>
      </c>
      <c r="J457" s="29" t="s">
        <v>83</v>
      </c>
      <c r="K457" s="31" t="s">
        <v>262</v>
      </c>
      <c r="L457" s="31">
        <v>46106</v>
      </c>
      <c r="M457" s="19">
        <v>46266</v>
      </c>
      <c r="N457" s="19">
        <f t="shared" si="93"/>
        <v>45926</v>
      </c>
      <c r="O457" s="20" t="str">
        <f t="shared" ca="1" si="94"/>
        <v>Vencida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34.5" customHeight="1" x14ac:dyDescent="0.25">
      <c r="A458" s="78">
        <v>1</v>
      </c>
      <c r="B458" s="79">
        <v>37590</v>
      </c>
      <c r="C458" s="29">
        <v>2019</v>
      </c>
      <c r="D458" s="29" t="s">
        <v>1143</v>
      </c>
      <c r="E458" s="29" t="s">
        <v>267</v>
      </c>
      <c r="F458" s="29" t="s">
        <v>129</v>
      </c>
      <c r="G458" s="29" t="s">
        <v>297</v>
      </c>
      <c r="H458" s="16" t="s">
        <v>1136</v>
      </c>
      <c r="I458" s="29" t="s">
        <v>1134</v>
      </c>
      <c r="J458" s="29" t="s">
        <v>1144</v>
      </c>
      <c r="K458" s="37" t="s">
        <v>262</v>
      </c>
      <c r="L458" s="82">
        <v>46169</v>
      </c>
      <c r="M458" s="19">
        <v>46327</v>
      </c>
      <c r="N458" s="19">
        <f t="shared" si="93"/>
        <v>45989</v>
      </c>
      <c r="O458" s="20" t="str">
        <f t="shared" ca="1" si="94"/>
        <v>Válida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34.5" customHeight="1" x14ac:dyDescent="0.25">
      <c r="A459" s="78">
        <v>1</v>
      </c>
      <c r="B459" s="79">
        <v>17685</v>
      </c>
      <c r="C459" s="9">
        <v>2024</v>
      </c>
      <c r="D459" s="9" t="s">
        <v>447</v>
      </c>
      <c r="E459" s="9" t="s">
        <v>267</v>
      </c>
      <c r="F459" s="9" t="s">
        <v>129</v>
      </c>
      <c r="G459" s="9" t="s">
        <v>448</v>
      </c>
      <c r="H459" s="8"/>
      <c r="I459" s="9" t="s">
        <v>1134</v>
      </c>
      <c r="J459" s="9"/>
      <c r="K459" s="8" t="s">
        <v>262</v>
      </c>
      <c r="L459" s="10">
        <v>49218</v>
      </c>
      <c r="M459" s="10">
        <v>46296</v>
      </c>
      <c r="N459" s="10">
        <v>49096</v>
      </c>
      <c r="O459" s="11" t="str">
        <f t="shared" ca="1" si="94"/>
        <v>Válida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34.5" customHeight="1" x14ac:dyDescent="0.25">
      <c r="A460" s="78">
        <v>2</v>
      </c>
      <c r="B460" s="81">
        <v>8599</v>
      </c>
      <c r="C460" s="18">
        <v>2022</v>
      </c>
      <c r="D460" s="16" t="s">
        <v>187</v>
      </c>
      <c r="E460" s="16" t="s">
        <v>27</v>
      </c>
      <c r="F460" s="16" t="s">
        <v>16</v>
      </c>
      <c r="G460" s="16" t="s">
        <v>17</v>
      </c>
      <c r="H460" s="18" t="s">
        <v>18</v>
      </c>
      <c r="I460" s="16" t="s">
        <v>1134</v>
      </c>
      <c r="J460" s="16" t="s">
        <v>83</v>
      </c>
      <c r="K460" s="19" t="s">
        <v>262</v>
      </c>
      <c r="L460" s="32">
        <v>46711</v>
      </c>
      <c r="M460" s="19">
        <v>46508</v>
      </c>
      <c r="N460" s="19">
        <f t="shared" ref="N460:N467" si="95">L460-180</f>
        <v>46531</v>
      </c>
      <c r="O460" s="20" t="str">
        <f t="shared" ca="1" si="94"/>
        <v>Válida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34.5" customHeight="1" x14ac:dyDescent="0.25">
      <c r="A461" s="78">
        <v>2</v>
      </c>
      <c r="B461" s="79" t="s">
        <v>1145</v>
      </c>
      <c r="C461" s="8">
        <v>2025</v>
      </c>
      <c r="D461" s="8" t="s">
        <v>144</v>
      </c>
      <c r="E461" s="8" t="s">
        <v>27</v>
      </c>
      <c r="F461" s="8" t="s">
        <v>16</v>
      </c>
      <c r="G461" s="8" t="s">
        <v>142</v>
      </c>
      <c r="H461" s="8" t="s">
        <v>1133</v>
      </c>
      <c r="I461" s="8" t="s">
        <v>1134</v>
      </c>
      <c r="J461" s="8" t="s">
        <v>83</v>
      </c>
      <c r="K461" s="10" t="s">
        <v>262</v>
      </c>
      <c r="L461" s="10">
        <v>49638</v>
      </c>
      <c r="M461" s="10">
        <v>46351</v>
      </c>
      <c r="N461" s="10">
        <f t="shared" si="95"/>
        <v>49458</v>
      </c>
      <c r="O461" s="11" t="str">
        <f t="shared" ca="1" si="94"/>
        <v>Válida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34.5" customHeight="1" x14ac:dyDescent="0.25">
      <c r="A462" s="78">
        <v>2</v>
      </c>
      <c r="B462" s="81" t="s">
        <v>1146</v>
      </c>
      <c r="C462" s="8">
        <v>2025</v>
      </c>
      <c r="D462" s="8" t="s">
        <v>145</v>
      </c>
      <c r="E462" s="8" t="s">
        <v>27</v>
      </c>
      <c r="F462" s="8" t="s">
        <v>16</v>
      </c>
      <c r="G462" s="8" t="s">
        <v>58</v>
      </c>
      <c r="H462" s="8" t="s">
        <v>1136</v>
      </c>
      <c r="I462" s="8" t="s">
        <v>1134</v>
      </c>
      <c r="J462" s="8" t="s">
        <v>83</v>
      </c>
      <c r="K462" s="10" t="s">
        <v>262</v>
      </c>
      <c r="L462" s="10">
        <v>49652</v>
      </c>
      <c r="M462" s="10">
        <v>46365</v>
      </c>
      <c r="N462" s="10">
        <f t="shared" si="95"/>
        <v>49472</v>
      </c>
      <c r="O462" s="11" t="str">
        <f t="shared" ca="1" si="94"/>
        <v>Válida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34.5" customHeight="1" x14ac:dyDescent="0.25">
      <c r="A463" s="78">
        <v>2</v>
      </c>
      <c r="B463" s="79">
        <v>503</v>
      </c>
      <c r="C463" s="16">
        <v>2025</v>
      </c>
      <c r="D463" s="16" t="s">
        <v>118</v>
      </c>
      <c r="E463" s="17" t="s">
        <v>27</v>
      </c>
      <c r="F463" s="16" t="s">
        <v>119</v>
      </c>
      <c r="G463" s="16" t="s">
        <v>1147</v>
      </c>
      <c r="H463" s="16" t="s">
        <v>1136</v>
      </c>
      <c r="I463" s="16" t="s">
        <v>1134</v>
      </c>
      <c r="J463" s="16" t="s">
        <v>83</v>
      </c>
      <c r="K463" s="19" t="s">
        <v>262</v>
      </c>
      <c r="L463" s="19">
        <v>49628</v>
      </c>
      <c r="M463" s="19">
        <v>46341</v>
      </c>
      <c r="N463" s="19">
        <f t="shared" si="95"/>
        <v>49448</v>
      </c>
      <c r="O463" s="20" t="str">
        <f t="shared" ca="1" si="94"/>
        <v>Válida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34.5" customHeight="1" x14ac:dyDescent="0.25">
      <c r="A464" s="78">
        <v>2</v>
      </c>
      <c r="B464" s="79" t="s">
        <v>1835</v>
      </c>
      <c r="C464" s="16">
        <v>2025</v>
      </c>
      <c r="D464" s="16" t="s">
        <v>122</v>
      </c>
      <c r="E464" s="17" t="s">
        <v>27</v>
      </c>
      <c r="F464" s="16" t="s">
        <v>119</v>
      </c>
      <c r="G464" s="16" t="s">
        <v>123</v>
      </c>
      <c r="H464" s="16"/>
      <c r="I464" s="16" t="s">
        <v>1134</v>
      </c>
      <c r="J464" s="16"/>
      <c r="K464" s="19" t="s">
        <v>262</v>
      </c>
      <c r="L464" s="19">
        <v>49389</v>
      </c>
      <c r="M464" s="19">
        <v>46447</v>
      </c>
      <c r="N464" s="19">
        <f t="shared" si="95"/>
        <v>49209</v>
      </c>
      <c r="O464" s="20" t="str">
        <f t="shared" ca="1" si="94"/>
        <v>Válida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34.5" customHeight="1" x14ac:dyDescent="0.25">
      <c r="A465" s="78">
        <v>2</v>
      </c>
      <c r="B465" s="79">
        <v>13561</v>
      </c>
      <c r="C465" s="8">
        <v>2020</v>
      </c>
      <c r="D465" s="8" t="s">
        <v>118</v>
      </c>
      <c r="E465" s="15" t="s">
        <v>27</v>
      </c>
      <c r="F465" s="8" t="s">
        <v>119</v>
      </c>
      <c r="G465" s="8" t="s">
        <v>1147</v>
      </c>
      <c r="H465" s="8"/>
      <c r="I465" s="8" t="s">
        <v>1134</v>
      </c>
      <c r="J465" s="8"/>
      <c r="K465" s="10" t="s">
        <v>262</v>
      </c>
      <c r="L465" s="10">
        <v>45895</v>
      </c>
      <c r="M465" s="10">
        <v>46054</v>
      </c>
      <c r="N465" s="10">
        <f t="shared" si="95"/>
        <v>45715</v>
      </c>
      <c r="O465" s="11" t="str">
        <f t="shared" ca="1" si="94"/>
        <v>Vencida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34.5" customHeight="1" x14ac:dyDescent="0.25">
      <c r="A466" s="78">
        <v>2</v>
      </c>
      <c r="B466" s="79">
        <v>17457</v>
      </c>
      <c r="C466" s="8">
        <v>2023</v>
      </c>
      <c r="D466" s="8" t="s">
        <v>444</v>
      </c>
      <c r="E466" s="15" t="s">
        <v>27</v>
      </c>
      <c r="F466" s="8" t="s">
        <v>445</v>
      </c>
      <c r="G466" s="8" t="s">
        <v>217</v>
      </c>
      <c r="H466" s="8"/>
      <c r="I466" s="8" t="s">
        <v>1134</v>
      </c>
      <c r="J466" s="8"/>
      <c r="K466" s="10" t="s">
        <v>262</v>
      </c>
      <c r="L466" s="10">
        <v>47252</v>
      </c>
      <c r="M466" s="10">
        <v>46143</v>
      </c>
      <c r="N466" s="10">
        <f t="shared" si="95"/>
        <v>47072</v>
      </c>
      <c r="O466" s="11" t="s">
        <v>30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34.5" customHeight="1" x14ac:dyDescent="0.25">
      <c r="A467" s="78">
        <v>2</v>
      </c>
      <c r="B467" s="79" t="s">
        <v>1792</v>
      </c>
      <c r="C467" s="8">
        <v>2024</v>
      </c>
      <c r="D467" s="8" t="s">
        <v>1793</v>
      </c>
      <c r="E467" s="15" t="s">
        <v>1794</v>
      </c>
      <c r="F467" s="8" t="s">
        <v>367</v>
      </c>
      <c r="G467" s="8" t="s">
        <v>1795</v>
      </c>
      <c r="H467" s="8"/>
      <c r="I467" s="8" t="s">
        <v>1134</v>
      </c>
      <c r="J467" s="8"/>
      <c r="K467" s="10" t="s">
        <v>262</v>
      </c>
      <c r="L467" s="10">
        <v>49512</v>
      </c>
      <c r="M467" s="10">
        <v>46225</v>
      </c>
      <c r="N467" s="10">
        <f t="shared" si="95"/>
        <v>49332</v>
      </c>
      <c r="O467" s="11" t="s">
        <v>30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34.5" customHeight="1" x14ac:dyDescent="0.25">
      <c r="A468" s="78">
        <v>2</v>
      </c>
      <c r="B468" s="79">
        <v>5538</v>
      </c>
      <c r="C468" s="9">
        <v>2023</v>
      </c>
      <c r="D468" s="8" t="s">
        <v>311</v>
      </c>
      <c r="E468" s="8" t="s">
        <v>27</v>
      </c>
      <c r="F468" s="8" t="s">
        <v>312</v>
      </c>
      <c r="G468" s="8" t="s">
        <v>313</v>
      </c>
      <c r="H468" s="8"/>
      <c r="I468" s="9" t="s">
        <v>1138</v>
      </c>
      <c r="J468" s="9"/>
      <c r="K468" s="13" t="s">
        <v>262</v>
      </c>
      <c r="L468" s="13">
        <v>46981</v>
      </c>
      <c r="M468" s="10">
        <v>46784</v>
      </c>
      <c r="N468" s="10">
        <v>46789</v>
      </c>
      <c r="O468" s="11" t="s">
        <v>30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34.5" customHeight="1" x14ac:dyDescent="0.25">
      <c r="A469" s="83">
        <v>3</v>
      </c>
      <c r="B469" s="84">
        <v>1447</v>
      </c>
      <c r="C469" s="85">
        <v>2024</v>
      </c>
      <c r="D469" s="85" t="s">
        <v>14</v>
      </c>
      <c r="E469" s="85" t="s">
        <v>15</v>
      </c>
      <c r="F469" s="85" t="s">
        <v>16</v>
      </c>
      <c r="G469" s="85" t="s">
        <v>17</v>
      </c>
      <c r="H469" s="85" t="s">
        <v>1133</v>
      </c>
      <c r="I469" s="85" t="s">
        <v>553</v>
      </c>
      <c r="J469" s="85" t="s">
        <v>20</v>
      </c>
      <c r="K469" s="86" t="s">
        <v>262</v>
      </c>
      <c r="L469" s="86">
        <v>47328</v>
      </c>
      <c r="M469" s="10">
        <v>46204</v>
      </c>
      <c r="N469" s="10">
        <f t="shared" ref="N469:N472" si="96">L469-180</f>
        <v>47148</v>
      </c>
      <c r="O469" s="87" t="str">
        <f t="shared" ref="O469:O470" ca="1" si="97">IF(L469&gt;TODAY(),"Válida",IF(ISBLANK(L469),"Andamento",IF(L469&lt;TODAY(),"Vencida",IF(L469-TODAY()&lt;90,"URGENTE",IF(L469-TODAY()&lt;150,"RENOVAÇÃO",)))))</f>
        <v>Válida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34.5" customHeight="1" x14ac:dyDescent="0.25">
      <c r="A470" s="78">
        <v>4</v>
      </c>
      <c r="B470" s="88">
        <v>1856</v>
      </c>
      <c r="C470" s="8">
        <v>2024</v>
      </c>
      <c r="D470" s="8" t="s">
        <v>515</v>
      </c>
      <c r="E470" s="8" t="s">
        <v>516</v>
      </c>
      <c r="F470" s="8" t="s">
        <v>16</v>
      </c>
      <c r="G470" s="8" t="s">
        <v>659</v>
      </c>
      <c r="H470" s="8" t="s">
        <v>1136</v>
      </c>
      <c r="I470" s="8" t="s">
        <v>553</v>
      </c>
      <c r="J470" s="8" t="s">
        <v>517</v>
      </c>
      <c r="K470" s="10" t="s">
        <v>262</v>
      </c>
      <c r="L470" s="10">
        <v>49191</v>
      </c>
      <c r="M470" s="10">
        <v>46269</v>
      </c>
      <c r="N470" s="10">
        <f t="shared" si="96"/>
        <v>49011</v>
      </c>
      <c r="O470" s="11" t="str">
        <f t="shared" ca="1" si="97"/>
        <v>Válida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34.5" customHeight="1" x14ac:dyDescent="0.25">
      <c r="A471" s="78">
        <v>5</v>
      </c>
      <c r="B471" s="79">
        <v>38832</v>
      </c>
      <c r="C471" s="8">
        <v>2024</v>
      </c>
      <c r="D471" s="8" t="s">
        <v>1148</v>
      </c>
      <c r="E471" s="8" t="s">
        <v>1149</v>
      </c>
      <c r="F471" s="8" t="s">
        <v>16</v>
      </c>
      <c r="G471" s="8" t="s">
        <v>154</v>
      </c>
      <c r="H471" s="8"/>
      <c r="I471" s="8" t="s">
        <v>1138</v>
      </c>
      <c r="J471" s="8"/>
      <c r="K471" s="10" t="s">
        <v>262</v>
      </c>
      <c r="L471" s="10">
        <v>49517</v>
      </c>
      <c r="M471" s="10">
        <v>45839</v>
      </c>
      <c r="N471" s="10">
        <f t="shared" si="96"/>
        <v>49337</v>
      </c>
      <c r="O471" s="11" t="s">
        <v>30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34.5" customHeight="1" x14ac:dyDescent="0.25">
      <c r="A472" s="78">
        <v>6</v>
      </c>
      <c r="B472" s="88">
        <v>1048</v>
      </c>
      <c r="C472" s="8">
        <v>2023</v>
      </c>
      <c r="D472" s="8" t="s">
        <v>1150</v>
      </c>
      <c r="E472" s="8" t="s">
        <v>1151</v>
      </c>
      <c r="F472" s="8" t="s">
        <v>530</v>
      </c>
      <c r="G472" s="8" t="s">
        <v>432</v>
      </c>
      <c r="H472" s="8" t="s">
        <v>1136</v>
      </c>
      <c r="I472" s="8" t="s">
        <v>553</v>
      </c>
      <c r="J472" s="8" t="s">
        <v>525</v>
      </c>
      <c r="K472" s="10" t="s">
        <v>262</v>
      </c>
      <c r="L472" s="10">
        <v>46856</v>
      </c>
      <c r="M472" s="10">
        <v>46113</v>
      </c>
      <c r="N472" s="10">
        <f t="shared" si="96"/>
        <v>46676</v>
      </c>
      <c r="O472" s="11" t="str">
        <f ca="1">IF(L472&gt;TODAY(),"Válida",IF(ISBLANK(L472),"Andamento",IF(L472&lt;TODAY(),"Vencida",IF(L472-TODAY()&lt;90,"URGENTE",IF(L472-TODAY()&lt;150,"RENOVAÇÃO",)))))</f>
        <v>Válida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34.5" customHeight="1" x14ac:dyDescent="0.25">
      <c r="A473" s="78">
        <v>7</v>
      </c>
      <c r="B473" s="79">
        <v>43402</v>
      </c>
      <c r="C473" s="8">
        <v>2023</v>
      </c>
      <c r="D473" s="8" t="s">
        <v>888</v>
      </c>
      <c r="E473" s="8" t="s">
        <v>1152</v>
      </c>
      <c r="F473" s="8" t="s">
        <v>16</v>
      </c>
      <c r="G473" s="8" t="s">
        <v>142</v>
      </c>
      <c r="H473" s="8" t="s">
        <v>1133</v>
      </c>
      <c r="I473" s="8" t="s">
        <v>1138</v>
      </c>
      <c r="J473" s="8" t="s">
        <v>525</v>
      </c>
      <c r="K473" s="10" t="s">
        <v>262</v>
      </c>
      <c r="L473" s="10">
        <v>49075</v>
      </c>
      <c r="M473" s="10">
        <v>46153</v>
      </c>
      <c r="N473" s="10">
        <v>48894</v>
      </c>
      <c r="O473" s="11" t="s">
        <v>30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34.5" customHeight="1" x14ac:dyDescent="0.25">
      <c r="A474" s="78">
        <v>8</v>
      </c>
      <c r="B474" s="79">
        <v>39804</v>
      </c>
      <c r="C474" s="8">
        <v>2022</v>
      </c>
      <c r="D474" s="8" t="s">
        <v>542</v>
      </c>
      <c r="E474" s="8" t="s">
        <v>543</v>
      </c>
      <c r="F474" s="8" t="s">
        <v>16</v>
      </c>
      <c r="G474" s="8" t="s">
        <v>544</v>
      </c>
      <c r="H474" s="8" t="s">
        <v>1136</v>
      </c>
      <c r="I474" s="8" t="s">
        <v>1134</v>
      </c>
      <c r="J474" s="8" t="s">
        <v>545</v>
      </c>
      <c r="K474" s="10" t="s">
        <v>262</v>
      </c>
      <c r="L474" s="10">
        <v>46893</v>
      </c>
      <c r="M474" s="10">
        <v>46143</v>
      </c>
      <c r="N474" s="10">
        <f t="shared" ref="N474:N480" si="98">L474-180</f>
        <v>46713</v>
      </c>
      <c r="O474" s="11" t="str">
        <f t="shared" ref="O474:O479" ca="1" si="99">IF(L474&gt;TODAY(),"Válida",IF(ISBLANK(L474),"Andamento",IF(L474&lt;TODAY(),"Vencida",IF(L474-TODAY()&lt;90,"URGENTE",IF(L474-TODAY()&lt;150,"RENOVAÇÃO",)))))</f>
        <v>Válida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34.5" customHeight="1" x14ac:dyDescent="0.25">
      <c r="A475" s="78">
        <v>9</v>
      </c>
      <c r="B475" s="79" t="s">
        <v>1153</v>
      </c>
      <c r="C475" s="8">
        <v>2020</v>
      </c>
      <c r="D475" s="8" t="s">
        <v>591</v>
      </c>
      <c r="E475" s="8" t="s">
        <v>592</v>
      </c>
      <c r="F475" s="8" t="s">
        <v>16</v>
      </c>
      <c r="G475" s="8" t="s">
        <v>17</v>
      </c>
      <c r="H475" s="8" t="s">
        <v>1133</v>
      </c>
      <c r="I475" s="8" t="s">
        <v>553</v>
      </c>
      <c r="J475" s="8" t="s">
        <v>418</v>
      </c>
      <c r="K475" s="10" t="s">
        <v>262</v>
      </c>
      <c r="L475" s="10">
        <v>45728</v>
      </c>
      <c r="M475" s="10">
        <v>45962</v>
      </c>
      <c r="N475" s="10">
        <f t="shared" si="98"/>
        <v>45548</v>
      </c>
      <c r="O475" s="11" t="str">
        <f t="shared" ca="1" si="99"/>
        <v>Vencida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34.5" customHeight="1" x14ac:dyDescent="0.25">
      <c r="A476" s="78">
        <v>10</v>
      </c>
      <c r="B476" s="79" t="s">
        <v>1154</v>
      </c>
      <c r="C476" s="16">
        <v>2023</v>
      </c>
      <c r="D476" s="16" t="s">
        <v>140</v>
      </c>
      <c r="E476" s="16" t="s">
        <v>141</v>
      </c>
      <c r="F476" s="16" t="s">
        <v>16</v>
      </c>
      <c r="G476" s="16" t="s">
        <v>17</v>
      </c>
      <c r="H476" s="16" t="s">
        <v>1136</v>
      </c>
      <c r="I476" s="16" t="s">
        <v>553</v>
      </c>
      <c r="J476" s="16" t="s">
        <v>474</v>
      </c>
      <c r="K476" s="19" t="s">
        <v>262</v>
      </c>
      <c r="L476" s="19">
        <v>46770</v>
      </c>
      <c r="M476" s="19">
        <v>46388</v>
      </c>
      <c r="N476" s="19">
        <f t="shared" si="98"/>
        <v>46590</v>
      </c>
      <c r="O476" s="20" t="str">
        <f t="shared" ca="1" si="99"/>
        <v>Válida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34.5" customHeight="1" x14ac:dyDescent="0.25">
      <c r="A477" s="78">
        <v>11</v>
      </c>
      <c r="B477" s="81" t="s">
        <v>1155</v>
      </c>
      <c r="C477" s="9">
        <v>2025</v>
      </c>
      <c r="D477" s="9" t="s">
        <v>61</v>
      </c>
      <c r="E477" s="9" t="s">
        <v>62</v>
      </c>
      <c r="F477" s="16" t="s">
        <v>16</v>
      </c>
      <c r="G477" s="9" t="s">
        <v>58</v>
      </c>
      <c r="H477" s="8" t="s">
        <v>1136</v>
      </c>
      <c r="I477" s="16" t="s">
        <v>553</v>
      </c>
      <c r="J477" s="9" t="s">
        <v>1156</v>
      </c>
      <c r="K477" s="19" t="s">
        <v>262</v>
      </c>
      <c r="L477" s="13">
        <v>49407</v>
      </c>
      <c r="M477" s="10">
        <v>46120</v>
      </c>
      <c r="N477" s="10">
        <f t="shared" si="98"/>
        <v>49227</v>
      </c>
      <c r="O477" s="11" t="str">
        <f t="shared" ca="1" si="99"/>
        <v>Válida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34.5" customHeight="1" x14ac:dyDescent="0.25">
      <c r="A478" s="78">
        <v>12</v>
      </c>
      <c r="B478" s="79" t="s">
        <v>1823</v>
      </c>
      <c r="C478" s="8">
        <v>2025</v>
      </c>
      <c r="D478" s="8" t="s">
        <v>871</v>
      </c>
      <c r="E478" s="8" t="s">
        <v>872</v>
      </c>
      <c r="F478" s="8" t="s">
        <v>16</v>
      </c>
      <c r="G478" s="8" t="s">
        <v>17</v>
      </c>
      <c r="H478" s="8" t="s">
        <v>1136</v>
      </c>
      <c r="I478" s="8" t="s">
        <v>553</v>
      </c>
      <c r="J478" s="8" t="s">
        <v>873</v>
      </c>
      <c r="K478" s="10" t="s">
        <v>262</v>
      </c>
      <c r="L478" s="10">
        <v>49749</v>
      </c>
      <c r="M478" s="10">
        <v>46461</v>
      </c>
      <c r="N478" s="10">
        <f t="shared" si="98"/>
        <v>49569</v>
      </c>
      <c r="O478" s="11" t="str">
        <f t="shared" ca="1" si="99"/>
        <v>Válida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34.5" customHeight="1" x14ac:dyDescent="0.25">
      <c r="A479" s="78">
        <v>13</v>
      </c>
      <c r="B479" s="79" t="s">
        <v>1157</v>
      </c>
      <c r="C479" s="8">
        <v>2025</v>
      </c>
      <c r="D479" s="8" t="s">
        <v>146</v>
      </c>
      <c r="E479" s="8" t="s">
        <v>147</v>
      </c>
      <c r="F479" s="8" t="s">
        <v>16</v>
      </c>
      <c r="G479" s="8" t="s">
        <v>17</v>
      </c>
      <c r="H479" s="8" t="s">
        <v>1133</v>
      </c>
      <c r="I479" s="8" t="s">
        <v>1134</v>
      </c>
      <c r="J479" s="8" t="s">
        <v>83</v>
      </c>
      <c r="K479" s="10" t="s">
        <v>262</v>
      </c>
      <c r="L479" s="10">
        <v>49546</v>
      </c>
      <c r="M479" s="10">
        <v>46259</v>
      </c>
      <c r="N479" s="10">
        <f t="shared" si="98"/>
        <v>49366</v>
      </c>
      <c r="O479" s="11" t="str">
        <f t="shared" ca="1" si="99"/>
        <v>Válida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34.5" customHeight="1" x14ac:dyDescent="0.25">
      <c r="A480" s="78">
        <v>13</v>
      </c>
      <c r="B480" s="79">
        <v>55023</v>
      </c>
      <c r="C480" s="8">
        <v>2023</v>
      </c>
      <c r="D480" s="8" t="s">
        <v>1158</v>
      </c>
      <c r="E480" s="8" t="s">
        <v>147</v>
      </c>
      <c r="F480" s="8" t="s">
        <v>16</v>
      </c>
      <c r="G480" s="8" t="s">
        <v>17</v>
      </c>
      <c r="H480" s="8"/>
      <c r="I480" s="8" t="s">
        <v>1134</v>
      </c>
      <c r="J480" s="8"/>
      <c r="K480" s="10" t="s">
        <v>262</v>
      </c>
      <c r="L480" s="10">
        <v>49100</v>
      </c>
      <c r="M480" s="10">
        <v>46178</v>
      </c>
      <c r="N480" s="10">
        <f t="shared" si="98"/>
        <v>48920</v>
      </c>
      <c r="O480" s="11" t="s">
        <v>30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34.5" customHeight="1" x14ac:dyDescent="0.25">
      <c r="A481" s="78">
        <v>14</v>
      </c>
      <c r="B481" s="89">
        <v>14496</v>
      </c>
      <c r="C481" s="9">
        <v>2025</v>
      </c>
      <c r="D481" s="9" t="s">
        <v>194</v>
      </c>
      <c r="E481" s="9" t="s">
        <v>185</v>
      </c>
      <c r="F481" s="9" t="s">
        <v>16</v>
      </c>
      <c r="G481" s="8" t="s">
        <v>17</v>
      </c>
      <c r="H481" s="8" t="s">
        <v>1133</v>
      </c>
      <c r="I481" s="8" t="s">
        <v>1159</v>
      </c>
      <c r="J481" s="9" t="s">
        <v>1135</v>
      </c>
      <c r="K481" s="10" t="s">
        <v>262</v>
      </c>
      <c r="L481" s="13">
        <v>49439</v>
      </c>
      <c r="M481" s="10">
        <v>46143</v>
      </c>
      <c r="N481" s="10">
        <v>49258</v>
      </c>
      <c r="O481" s="11" t="s">
        <v>30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34.5" customHeight="1" x14ac:dyDescent="0.25">
      <c r="A482" s="78">
        <v>15</v>
      </c>
      <c r="B482" s="79">
        <v>22059</v>
      </c>
      <c r="C482" s="21">
        <v>2024</v>
      </c>
      <c r="D482" s="8" t="s">
        <v>56</v>
      </c>
      <c r="E482" s="8" t="s">
        <v>1160</v>
      </c>
      <c r="F482" s="8" t="s">
        <v>16</v>
      </c>
      <c r="G482" s="8" t="s">
        <v>58</v>
      </c>
      <c r="H482" s="8"/>
      <c r="I482" s="8" t="s">
        <v>1134</v>
      </c>
      <c r="J482" s="8"/>
      <c r="K482" s="10" t="s">
        <v>262</v>
      </c>
      <c r="L482" s="10">
        <v>49392</v>
      </c>
      <c r="M482" s="10">
        <v>46470</v>
      </c>
      <c r="N482" s="10">
        <f t="shared" ref="N482:N488" si="100">L482-180</f>
        <v>49212</v>
      </c>
      <c r="O482" s="11" t="str">
        <f t="shared" ref="O482:O489" ca="1" si="101">IF(L482&gt;TODAY(),"Válida",IF(ISBLANK(L482),"Andamento",IF(L482&lt;TODAY(),"Vencida",IF(L482-TODAY()&lt;90,"URGENTE",IF(L482-TODAY()&lt;150,"RENOVAÇÃO",)))))</f>
        <v>Válida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34.5" customHeight="1" x14ac:dyDescent="0.25">
      <c r="A483" s="78">
        <v>16</v>
      </c>
      <c r="B483" s="81">
        <v>5186</v>
      </c>
      <c r="C483" s="8">
        <v>2021</v>
      </c>
      <c r="D483" s="8" t="s">
        <v>603</v>
      </c>
      <c r="E483" s="8" t="s">
        <v>1161</v>
      </c>
      <c r="F483" s="8" t="s">
        <v>16</v>
      </c>
      <c r="G483" s="8" t="s">
        <v>1162</v>
      </c>
      <c r="H483" s="8" t="s">
        <v>1133</v>
      </c>
      <c r="I483" s="8" t="s">
        <v>1134</v>
      </c>
      <c r="J483" s="8" t="s">
        <v>1135</v>
      </c>
      <c r="K483" s="10" t="s">
        <v>262</v>
      </c>
      <c r="L483" s="10">
        <v>46145</v>
      </c>
      <c r="M483" s="10">
        <v>45965</v>
      </c>
      <c r="N483" s="10">
        <f t="shared" si="100"/>
        <v>45965</v>
      </c>
      <c r="O483" s="11" t="str">
        <f t="shared" ca="1" si="101"/>
        <v>Válida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34.5" customHeight="1" x14ac:dyDescent="0.25">
      <c r="A484" s="78">
        <v>17</v>
      </c>
      <c r="B484" s="79">
        <v>21816</v>
      </c>
      <c r="C484" s="8">
        <v>2022</v>
      </c>
      <c r="D484" s="8" t="s">
        <v>518</v>
      </c>
      <c r="E484" s="8" t="s">
        <v>1163</v>
      </c>
      <c r="F484" s="8" t="s">
        <v>16</v>
      </c>
      <c r="G484" s="8" t="s">
        <v>17</v>
      </c>
      <c r="H484" s="8"/>
      <c r="I484" s="8" t="s">
        <v>1134</v>
      </c>
      <c r="J484" s="8"/>
      <c r="K484" s="10" t="s">
        <v>262</v>
      </c>
      <c r="L484" s="10">
        <v>46770</v>
      </c>
      <c r="M484" s="10">
        <v>46388</v>
      </c>
      <c r="N484" s="10">
        <f t="shared" si="100"/>
        <v>46590</v>
      </c>
      <c r="O484" s="11" t="str">
        <f t="shared" ca="1" si="101"/>
        <v>Válida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34.5" customHeight="1" x14ac:dyDescent="0.25">
      <c r="A485" s="78">
        <v>18</v>
      </c>
      <c r="B485" s="79">
        <v>21810</v>
      </c>
      <c r="C485" s="21">
        <v>2022</v>
      </c>
      <c r="D485" s="8" t="s">
        <v>1164</v>
      </c>
      <c r="E485" s="8" t="s">
        <v>339</v>
      </c>
      <c r="F485" s="8" t="s">
        <v>350</v>
      </c>
      <c r="G485" s="8" t="s">
        <v>195</v>
      </c>
      <c r="H485" s="8" t="s">
        <v>1133</v>
      </c>
      <c r="I485" s="8" t="s">
        <v>1134</v>
      </c>
      <c r="J485" s="8" t="s">
        <v>236</v>
      </c>
      <c r="K485" s="13" t="s">
        <v>262</v>
      </c>
      <c r="L485" s="10">
        <v>46868</v>
      </c>
      <c r="M485" s="10">
        <v>46143</v>
      </c>
      <c r="N485" s="10">
        <f t="shared" si="100"/>
        <v>46688</v>
      </c>
      <c r="O485" s="11" t="str">
        <f t="shared" ca="1" si="101"/>
        <v>Válida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34.5" customHeight="1" x14ac:dyDescent="0.25">
      <c r="A486" s="78">
        <v>19</v>
      </c>
      <c r="B486" s="79">
        <v>391</v>
      </c>
      <c r="C486" s="8">
        <v>2020</v>
      </c>
      <c r="D486" s="8" t="s">
        <v>649</v>
      </c>
      <c r="E486" s="8" t="s">
        <v>650</v>
      </c>
      <c r="F486" s="8" t="s">
        <v>502</v>
      </c>
      <c r="G486" s="8" t="s">
        <v>432</v>
      </c>
      <c r="H486" s="8" t="s">
        <v>1136</v>
      </c>
      <c r="I486" s="8" t="s">
        <v>553</v>
      </c>
      <c r="J486" s="8" t="s">
        <v>1144</v>
      </c>
      <c r="K486" s="10" t="s">
        <v>262</v>
      </c>
      <c r="L486" s="10">
        <v>45832</v>
      </c>
      <c r="M486" s="10">
        <v>45832</v>
      </c>
      <c r="N486" s="10">
        <f t="shared" si="100"/>
        <v>45652</v>
      </c>
      <c r="O486" s="11" t="str">
        <f t="shared" ca="1" si="101"/>
        <v>Vencida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34.5" customHeight="1" x14ac:dyDescent="0.25">
      <c r="A487" s="78">
        <v>20</v>
      </c>
      <c r="B487" s="90" t="s">
        <v>1165</v>
      </c>
      <c r="C487" s="21">
        <v>2023</v>
      </c>
      <c r="D487" s="8" t="s">
        <v>1166</v>
      </c>
      <c r="E487" s="8" t="s">
        <v>572</v>
      </c>
      <c r="F487" s="8" t="s">
        <v>81</v>
      </c>
      <c r="G487" s="8" t="s">
        <v>659</v>
      </c>
      <c r="H487" s="8" t="s">
        <v>1133</v>
      </c>
      <c r="I487" s="8" t="s">
        <v>553</v>
      </c>
      <c r="J487" s="8" t="s">
        <v>1167</v>
      </c>
      <c r="K487" s="10" t="s">
        <v>262</v>
      </c>
      <c r="L487" s="10">
        <v>46969</v>
      </c>
      <c r="M487" s="10">
        <v>46235</v>
      </c>
      <c r="N487" s="10">
        <f t="shared" si="100"/>
        <v>46789</v>
      </c>
      <c r="O487" s="11" t="str">
        <f t="shared" ca="1" si="101"/>
        <v>Válida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34.5" customHeight="1" x14ac:dyDescent="0.25">
      <c r="A488" s="78">
        <v>20</v>
      </c>
      <c r="B488" s="90">
        <v>1973</v>
      </c>
      <c r="C488" s="21">
        <v>2023</v>
      </c>
      <c r="D488" s="8" t="s">
        <v>685</v>
      </c>
      <c r="E488" s="8" t="s">
        <v>572</v>
      </c>
      <c r="F488" s="8" t="s">
        <v>1168</v>
      </c>
      <c r="G488" s="8" t="s">
        <v>687</v>
      </c>
      <c r="H488" s="8"/>
      <c r="I488" s="8" t="s">
        <v>553</v>
      </c>
      <c r="J488" s="8"/>
      <c r="K488" s="10" t="s">
        <v>262</v>
      </c>
      <c r="L488" s="10">
        <v>47070</v>
      </c>
      <c r="M488" s="10">
        <v>46327</v>
      </c>
      <c r="N488" s="10">
        <f t="shared" si="100"/>
        <v>46890</v>
      </c>
      <c r="O488" s="11" t="str">
        <f t="shared" ca="1" si="101"/>
        <v>Válida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34.5" customHeight="1" x14ac:dyDescent="0.25">
      <c r="A489" s="78">
        <v>21</v>
      </c>
      <c r="B489" s="81">
        <v>408</v>
      </c>
      <c r="C489" s="9">
        <v>2020</v>
      </c>
      <c r="D489" s="9" t="s">
        <v>653</v>
      </c>
      <c r="E489" s="9" t="s">
        <v>654</v>
      </c>
      <c r="F489" s="9" t="s">
        <v>502</v>
      </c>
      <c r="G489" s="9" t="s">
        <v>1169</v>
      </c>
      <c r="H489" s="8" t="s">
        <v>1136</v>
      </c>
      <c r="I489" s="8" t="s">
        <v>553</v>
      </c>
      <c r="J489" s="9" t="s">
        <v>1170</v>
      </c>
      <c r="K489" s="13" t="s">
        <v>262</v>
      </c>
      <c r="L489" s="13">
        <v>45839</v>
      </c>
      <c r="M489" s="10">
        <v>45839</v>
      </c>
      <c r="N489" s="10">
        <v>45839</v>
      </c>
      <c r="O489" s="11" t="str">
        <f t="shared" ca="1" si="101"/>
        <v>Vencida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34.5" customHeight="1" x14ac:dyDescent="0.25">
      <c r="A490" s="78">
        <v>22</v>
      </c>
      <c r="B490" s="81">
        <v>764</v>
      </c>
      <c r="C490" s="9">
        <v>2020</v>
      </c>
      <c r="D490" s="9" t="s">
        <v>781</v>
      </c>
      <c r="E490" s="9" t="s">
        <v>782</v>
      </c>
      <c r="F490" s="9" t="s">
        <v>350</v>
      </c>
      <c r="G490" s="9" t="s">
        <v>666</v>
      </c>
      <c r="H490" s="8"/>
      <c r="I490" s="8" t="s">
        <v>553</v>
      </c>
      <c r="J490" s="9"/>
      <c r="K490" s="13" t="s">
        <v>262</v>
      </c>
      <c r="L490" s="13">
        <v>45949</v>
      </c>
      <c r="M490" s="10">
        <v>46284</v>
      </c>
      <c r="N490" s="10">
        <v>45919</v>
      </c>
      <c r="O490" s="11" t="s">
        <v>30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34.5" customHeight="1" x14ac:dyDescent="0.25">
      <c r="A491" s="78">
        <v>22</v>
      </c>
      <c r="B491" s="88">
        <v>1981</v>
      </c>
      <c r="C491" s="8">
        <v>2023</v>
      </c>
      <c r="D491" s="8" t="s">
        <v>1171</v>
      </c>
      <c r="E491" s="8" t="s">
        <v>1172</v>
      </c>
      <c r="F491" s="8" t="s">
        <v>16</v>
      </c>
      <c r="G491" s="8" t="s">
        <v>666</v>
      </c>
      <c r="H491" s="8"/>
      <c r="I491" s="8" t="s">
        <v>553</v>
      </c>
      <c r="J491" s="8"/>
      <c r="K491" s="13" t="s">
        <v>262</v>
      </c>
      <c r="L491" s="10">
        <v>47071</v>
      </c>
      <c r="M491" s="10">
        <v>46327</v>
      </c>
      <c r="N491" s="10">
        <v>46857</v>
      </c>
      <c r="O491" s="11" t="s">
        <v>30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34.5" customHeight="1" x14ac:dyDescent="0.25">
      <c r="A492" s="78">
        <v>23</v>
      </c>
      <c r="B492" s="79">
        <v>4717</v>
      </c>
      <c r="C492" s="8">
        <v>2024</v>
      </c>
      <c r="D492" s="8" t="s">
        <v>1173</v>
      </c>
      <c r="E492" s="8" t="s">
        <v>1174</v>
      </c>
      <c r="F492" s="8" t="s">
        <v>16</v>
      </c>
      <c r="G492" s="8" t="s">
        <v>58</v>
      </c>
      <c r="H492" s="8"/>
      <c r="I492" s="8" t="s">
        <v>1134</v>
      </c>
      <c r="J492" s="8"/>
      <c r="K492" s="10" t="s">
        <v>262</v>
      </c>
      <c r="L492" s="10">
        <v>49349</v>
      </c>
      <c r="M492" s="10">
        <v>46427</v>
      </c>
      <c r="N492" s="10">
        <v>49165</v>
      </c>
      <c r="O492" s="11" t="s">
        <v>30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34.5" customHeight="1" x14ac:dyDescent="0.25">
      <c r="A493" s="78">
        <v>23</v>
      </c>
      <c r="B493" s="79">
        <v>605</v>
      </c>
      <c r="C493" s="8">
        <v>2025</v>
      </c>
      <c r="D493" s="8" t="s">
        <v>1175</v>
      </c>
      <c r="E493" s="8" t="s">
        <v>1176</v>
      </c>
      <c r="F493" s="8" t="s">
        <v>16</v>
      </c>
      <c r="G493" s="8" t="s">
        <v>58</v>
      </c>
      <c r="H493" s="8"/>
      <c r="I493" s="8" t="s">
        <v>1134</v>
      </c>
      <c r="J493" s="8"/>
      <c r="K493" s="10" t="s">
        <v>262</v>
      </c>
      <c r="L493" s="10">
        <v>49553</v>
      </c>
      <c r="M493" s="10">
        <v>46266</v>
      </c>
      <c r="N493" s="10">
        <v>49369</v>
      </c>
      <c r="O493" s="11" t="s">
        <v>30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34.5" customHeight="1" x14ac:dyDescent="0.25">
      <c r="A494" s="78">
        <v>24</v>
      </c>
      <c r="B494" s="79">
        <v>18132</v>
      </c>
      <c r="C494" s="21">
        <v>2022</v>
      </c>
      <c r="D494" s="8" t="s">
        <v>348</v>
      </c>
      <c r="E494" s="8" t="s">
        <v>349</v>
      </c>
      <c r="F494" s="8" t="s">
        <v>350</v>
      </c>
      <c r="G494" s="8" t="s">
        <v>71</v>
      </c>
      <c r="H494" s="8" t="s">
        <v>1133</v>
      </c>
      <c r="I494" s="8" t="s">
        <v>1134</v>
      </c>
      <c r="J494" s="8"/>
      <c r="K494" s="10" t="s">
        <v>262</v>
      </c>
      <c r="L494" s="10">
        <v>46713</v>
      </c>
      <c r="M494" s="10">
        <v>46327</v>
      </c>
      <c r="N494" s="10">
        <f>L494-180</f>
        <v>46533</v>
      </c>
      <c r="O494" s="11" t="str">
        <f t="shared" ref="O494:O496" ca="1" si="102">IF(L494&gt;TODAY(),"Válida",IF(ISBLANK(L494),"Andamento",IF(L494&lt;TODAY(),"Vencida",IF(L494-TODAY()&lt;90,"URGENTE",IF(L494-TODAY()&lt;150,"RENOVAÇÃO",)))))</f>
        <v>Válida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34.5" customHeight="1" x14ac:dyDescent="0.25">
      <c r="A495" s="78">
        <v>24</v>
      </c>
      <c r="B495" s="79">
        <v>34018</v>
      </c>
      <c r="C495" s="21">
        <v>2023</v>
      </c>
      <c r="D495" s="8" t="s">
        <v>1177</v>
      </c>
      <c r="E495" s="8" t="s">
        <v>349</v>
      </c>
      <c r="F495" s="8" t="s">
        <v>350</v>
      </c>
      <c r="G495" s="8" t="s">
        <v>71</v>
      </c>
      <c r="H495" s="8"/>
      <c r="I495" s="8" t="s">
        <v>1134</v>
      </c>
      <c r="J495" s="8"/>
      <c r="K495" s="10" t="s">
        <v>262</v>
      </c>
      <c r="L495" s="10">
        <v>49153</v>
      </c>
      <c r="M495" s="10">
        <v>46231</v>
      </c>
      <c r="N495" s="10">
        <v>48972</v>
      </c>
      <c r="O495" s="11" t="str">
        <f t="shared" ca="1" si="102"/>
        <v>Válida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37.5" customHeight="1" x14ac:dyDescent="0.25">
      <c r="A496" s="78">
        <v>25</v>
      </c>
      <c r="B496" s="80">
        <v>11919</v>
      </c>
      <c r="C496" s="15">
        <v>2024</v>
      </c>
      <c r="D496" s="15" t="s">
        <v>1178</v>
      </c>
      <c r="E496" s="15" t="s">
        <v>960</v>
      </c>
      <c r="F496" s="15" t="s">
        <v>119</v>
      </c>
      <c r="G496" s="15" t="s">
        <v>48</v>
      </c>
      <c r="H496" s="15"/>
      <c r="I496" s="15" t="s">
        <v>1134</v>
      </c>
      <c r="J496" s="15"/>
      <c r="K496" s="15" t="s">
        <v>262</v>
      </c>
      <c r="L496" s="14">
        <v>49397</v>
      </c>
      <c r="M496" s="10">
        <v>46475</v>
      </c>
      <c r="N496" s="10">
        <v>49216</v>
      </c>
      <c r="O496" s="11" t="str">
        <f t="shared" ca="1" si="102"/>
        <v>Válida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34.5" customHeight="1" x14ac:dyDescent="0.25">
      <c r="A497" s="78">
        <v>26</v>
      </c>
      <c r="B497" s="88">
        <v>1816</v>
      </c>
      <c r="C497" s="8">
        <v>2023</v>
      </c>
      <c r="D497" s="8" t="s">
        <v>806</v>
      </c>
      <c r="E497" s="8" t="s">
        <v>1179</v>
      </c>
      <c r="F497" s="8" t="s">
        <v>81</v>
      </c>
      <c r="G497" s="8" t="s">
        <v>67</v>
      </c>
      <c r="H497" s="8" t="s">
        <v>417</v>
      </c>
      <c r="I497" s="15" t="s">
        <v>553</v>
      </c>
      <c r="J497" s="8" t="s">
        <v>808</v>
      </c>
      <c r="K497" s="8" t="s">
        <v>262</v>
      </c>
      <c r="L497" s="10">
        <v>47039</v>
      </c>
      <c r="M497" s="13">
        <v>46296</v>
      </c>
      <c r="N497" s="10">
        <v>46856</v>
      </c>
      <c r="O497" s="11" t="s">
        <v>30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34.5" customHeight="1" x14ac:dyDescent="0.25">
      <c r="A498" s="78">
        <v>27</v>
      </c>
      <c r="B498" s="79">
        <v>385</v>
      </c>
      <c r="C498" s="8">
        <v>2020</v>
      </c>
      <c r="D498" s="8" t="s">
        <v>1180</v>
      </c>
      <c r="E498" s="8" t="s">
        <v>674</v>
      </c>
      <c r="F498" s="8" t="s">
        <v>16</v>
      </c>
      <c r="G498" s="8" t="s">
        <v>17</v>
      </c>
      <c r="H498" s="8" t="s">
        <v>1133</v>
      </c>
      <c r="I498" s="15" t="s">
        <v>553</v>
      </c>
      <c r="J498" s="8" t="s">
        <v>428</v>
      </c>
      <c r="K498" s="13" t="s">
        <v>262</v>
      </c>
      <c r="L498" s="10">
        <v>45829</v>
      </c>
      <c r="M498" s="10">
        <v>46194</v>
      </c>
      <c r="N498" s="10">
        <f>L498-180</f>
        <v>45649</v>
      </c>
      <c r="O498" s="11" t="str">
        <f t="shared" ref="O498:O514" ca="1" si="103">IF(L498&gt;TODAY(),"Válida",IF(ISBLANK(L498),"Andamento",IF(L498&lt;TODAY(),"Vencida",IF(L498-TODAY()&lt;90,"URGENTE",IF(L498-TODAY()&lt;150,"RENOVAÇÃO",)))))</f>
        <v>Vencida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34.5" customHeight="1" x14ac:dyDescent="0.25">
      <c r="A499" s="78">
        <v>27</v>
      </c>
      <c r="B499" s="79">
        <v>3948</v>
      </c>
      <c r="C499" s="8">
        <v>2025</v>
      </c>
      <c r="D499" s="8" t="s">
        <v>675</v>
      </c>
      <c r="E499" s="8" t="s">
        <v>674</v>
      </c>
      <c r="F499" s="8" t="s">
        <v>212</v>
      </c>
      <c r="G499" s="8" t="s">
        <v>676</v>
      </c>
      <c r="H499" s="8"/>
      <c r="I499" s="15" t="s">
        <v>553</v>
      </c>
      <c r="J499" s="8"/>
      <c r="K499" s="13" t="s">
        <v>262</v>
      </c>
      <c r="L499" s="10">
        <v>49482</v>
      </c>
      <c r="M499" s="10">
        <v>46195</v>
      </c>
      <c r="N499" s="10">
        <v>49300</v>
      </c>
      <c r="O499" s="11" t="str">
        <f t="shared" ca="1" si="103"/>
        <v>Válida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34.5" customHeight="1" x14ac:dyDescent="0.25">
      <c r="A500" s="78">
        <v>28</v>
      </c>
      <c r="B500" s="79">
        <v>10555</v>
      </c>
      <c r="C500" s="34">
        <v>2022</v>
      </c>
      <c r="D500" s="16" t="s">
        <v>247</v>
      </c>
      <c r="E500" s="34" t="s">
        <v>1181</v>
      </c>
      <c r="F500" s="16" t="s">
        <v>249</v>
      </c>
      <c r="G500" s="16" t="s">
        <v>48</v>
      </c>
      <c r="H500" s="16" t="s">
        <v>1136</v>
      </c>
      <c r="I500" s="16" t="s">
        <v>1134</v>
      </c>
      <c r="J500" s="16" t="s">
        <v>250</v>
      </c>
      <c r="K500" s="31" t="s">
        <v>262</v>
      </c>
      <c r="L500" s="19">
        <v>46537</v>
      </c>
      <c r="M500" s="19">
        <v>46235</v>
      </c>
      <c r="N500" s="19">
        <f t="shared" ref="N500:N504" si="104">L500-180</f>
        <v>46357</v>
      </c>
      <c r="O500" s="20" t="str">
        <f t="shared" ca="1" si="103"/>
        <v>Válida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34.5" customHeight="1" x14ac:dyDescent="0.25">
      <c r="A501" s="78">
        <v>29</v>
      </c>
      <c r="B501" s="79">
        <v>7524</v>
      </c>
      <c r="C501" s="21">
        <v>2020</v>
      </c>
      <c r="D501" s="8" t="s">
        <v>244</v>
      </c>
      <c r="E501" s="8" t="s">
        <v>1182</v>
      </c>
      <c r="F501" s="8" t="s">
        <v>198</v>
      </c>
      <c r="G501" s="8" t="s">
        <v>67</v>
      </c>
      <c r="H501" s="8" t="s">
        <v>1133</v>
      </c>
      <c r="I501" s="8" t="s">
        <v>1138</v>
      </c>
      <c r="J501" s="8" t="s">
        <v>250</v>
      </c>
      <c r="K501" s="10" t="s">
        <v>262</v>
      </c>
      <c r="L501" s="10">
        <v>46040</v>
      </c>
      <c r="M501" s="10">
        <v>45627</v>
      </c>
      <c r="N501" s="10">
        <f t="shared" si="104"/>
        <v>45860</v>
      </c>
      <c r="O501" s="11" t="str">
        <f t="shared" ca="1" si="103"/>
        <v>Vencida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34.5" customHeight="1" x14ac:dyDescent="0.25">
      <c r="A502" s="78">
        <v>30</v>
      </c>
      <c r="B502" s="81" t="s">
        <v>1183</v>
      </c>
      <c r="C502" s="8">
        <v>2025</v>
      </c>
      <c r="D502" s="8" t="s">
        <v>256</v>
      </c>
      <c r="E502" s="8" t="s">
        <v>1184</v>
      </c>
      <c r="F502" s="8" t="s">
        <v>16</v>
      </c>
      <c r="G502" s="8" t="s">
        <v>258</v>
      </c>
      <c r="H502" s="8" t="s">
        <v>1136</v>
      </c>
      <c r="I502" s="8" t="s">
        <v>553</v>
      </c>
      <c r="J502" s="8" t="s">
        <v>259</v>
      </c>
      <c r="K502" s="10" t="s">
        <v>262</v>
      </c>
      <c r="L502" s="10">
        <v>49456</v>
      </c>
      <c r="M502" s="10">
        <v>46169</v>
      </c>
      <c r="N502" s="10">
        <f t="shared" si="104"/>
        <v>49276</v>
      </c>
      <c r="O502" s="11" t="str">
        <f t="shared" ca="1" si="103"/>
        <v>Válida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34.5" customHeight="1" x14ac:dyDescent="0.25">
      <c r="A503" s="78">
        <v>31</v>
      </c>
      <c r="B503" s="81" t="s">
        <v>1185</v>
      </c>
      <c r="C503" s="8">
        <v>2024</v>
      </c>
      <c r="D503" s="8" t="s">
        <v>1019</v>
      </c>
      <c r="E503" s="8" t="s">
        <v>1186</v>
      </c>
      <c r="F503" s="8" t="s">
        <v>1021</v>
      </c>
      <c r="G503" s="8" t="s">
        <v>217</v>
      </c>
      <c r="H503" s="8"/>
      <c r="I503" s="8" t="s">
        <v>1159</v>
      </c>
      <c r="J503" s="8"/>
      <c r="K503" s="10" t="s">
        <v>262</v>
      </c>
      <c r="L503" s="10">
        <v>47237</v>
      </c>
      <c r="M503" s="10">
        <v>46141</v>
      </c>
      <c r="N503" s="10">
        <f t="shared" si="104"/>
        <v>47057</v>
      </c>
      <c r="O503" s="11" t="str">
        <f t="shared" ca="1" si="103"/>
        <v>Válida</v>
      </c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34.5" customHeight="1" x14ac:dyDescent="0.25">
      <c r="A504" s="78">
        <v>32</v>
      </c>
      <c r="B504" s="88">
        <v>1388</v>
      </c>
      <c r="C504" s="8">
        <v>2020</v>
      </c>
      <c r="D504" s="8" t="s">
        <v>882</v>
      </c>
      <c r="E504" s="8" t="s">
        <v>1187</v>
      </c>
      <c r="F504" s="8" t="s">
        <v>16</v>
      </c>
      <c r="G504" s="8" t="s">
        <v>17</v>
      </c>
      <c r="H504" s="8" t="s">
        <v>1136</v>
      </c>
      <c r="I504" s="8" t="s">
        <v>553</v>
      </c>
      <c r="J504" s="8" t="s">
        <v>887</v>
      </c>
      <c r="K504" s="8" t="s">
        <v>262</v>
      </c>
      <c r="L504" s="10">
        <v>47322</v>
      </c>
      <c r="M504" s="10">
        <v>46204</v>
      </c>
      <c r="N504" s="10">
        <f t="shared" si="104"/>
        <v>47142</v>
      </c>
      <c r="O504" s="11" t="str">
        <f t="shared" ca="1" si="103"/>
        <v>Válida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34.5" customHeight="1" x14ac:dyDescent="0.25">
      <c r="A505" s="78">
        <v>33</v>
      </c>
      <c r="B505" s="79">
        <v>700</v>
      </c>
      <c r="C505" s="8">
        <v>2020</v>
      </c>
      <c r="D505" s="8" t="s">
        <v>726</v>
      </c>
      <c r="E505" s="9" t="s">
        <v>1188</v>
      </c>
      <c r="F505" s="8" t="s">
        <v>16</v>
      </c>
      <c r="G505" s="8" t="s">
        <v>195</v>
      </c>
      <c r="H505" s="8"/>
      <c r="I505" s="8" t="s">
        <v>553</v>
      </c>
      <c r="J505" s="8"/>
      <c r="K505" s="8" t="s">
        <v>262</v>
      </c>
      <c r="L505" s="10">
        <v>45929</v>
      </c>
      <c r="M505" s="10">
        <v>46256</v>
      </c>
      <c r="N505" s="10">
        <v>45891</v>
      </c>
      <c r="O505" s="11" t="str">
        <f t="shared" ca="1" si="103"/>
        <v>Vencida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34.5" customHeight="1" x14ac:dyDescent="0.25">
      <c r="A506" s="78"/>
      <c r="B506" s="79" t="s">
        <v>1189</v>
      </c>
      <c r="C506" s="8">
        <v>2025</v>
      </c>
      <c r="D506" s="16" t="s">
        <v>745</v>
      </c>
      <c r="E506" s="91" t="s">
        <v>1190</v>
      </c>
      <c r="F506" s="16" t="s">
        <v>747</v>
      </c>
      <c r="G506" s="16" t="s">
        <v>48</v>
      </c>
      <c r="H506" s="8"/>
      <c r="I506" s="16" t="s">
        <v>1134</v>
      </c>
      <c r="J506" s="8"/>
      <c r="K506" s="19" t="s">
        <v>262</v>
      </c>
      <c r="L506" s="10">
        <v>49652</v>
      </c>
      <c r="M506" s="10">
        <v>46365</v>
      </c>
      <c r="N506" s="10">
        <v>49469</v>
      </c>
      <c r="O506" s="11" t="str">
        <f t="shared" ca="1" si="103"/>
        <v>Válida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34.5" customHeight="1" x14ac:dyDescent="0.25">
      <c r="A507" s="78">
        <v>34</v>
      </c>
      <c r="B507" s="79">
        <v>11984</v>
      </c>
      <c r="C507" s="16">
        <v>2020</v>
      </c>
      <c r="D507" s="16" t="s">
        <v>745</v>
      </c>
      <c r="E507" s="91" t="s">
        <v>1190</v>
      </c>
      <c r="F507" s="16" t="s">
        <v>747</v>
      </c>
      <c r="G507" s="16" t="s">
        <v>48</v>
      </c>
      <c r="H507" s="16" t="s">
        <v>1136</v>
      </c>
      <c r="I507" s="16" t="s">
        <v>1134</v>
      </c>
      <c r="J507" s="16" t="s">
        <v>1144</v>
      </c>
      <c r="K507" s="19" t="s">
        <v>262</v>
      </c>
      <c r="L507" s="19">
        <v>45924</v>
      </c>
      <c r="M507" s="19">
        <v>46109</v>
      </c>
      <c r="N507" s="19">
        <f t="shared" ref="N507:N514" si="105">L507-180</f>
        <v>45744</v>
      </c>
      <c r="O507" s="20" t="str">
        <f t="shared" ca="1" si="103"/>
        <v>Vencida</v>
      </c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34.5" customHeight="1" x14ac:dyDescent="0.25">
      <c r="A508" s="78">
        <v>35</v>
      </c>
      <c r="B508" s="79">
        <v>30899</v>
      </c>
      <c r="C508" s="34">
        <v>2020</v>
      </c>
      <c r="D508" s="16" t="s">
        <v>866</v>
      </c>
      <c r="E508" s="16" t="s">
        <v>766</v>
      </c>
      <c r="F508" s="16" t="s">
        <v>16</v>
      </c>
      <c r="G508" s="16" t="s">
        <v>67</v>
      </c>
      <c r="H508" s="16" t="s">
        <v>1133</v>
      </c>
      <c r="I508" s="16" t="s">
        <v>1134</v>
      </c>
      <c r="J508" s="16" t="s">
        <v>545</v>
      </c>
      <c r="K508" s="31" t="s">
        <v>262</v>
      </c>
      <c r="L508" s="19">
        <v>46141</v>
      </c>
      <c r="M508" s="19">
        <v>45961</v>
      </c>
      <c r="N508" s="19">
        <f t="shared" si="105"/>
        <v>45961</v>
      </c>
      <c r="O508" s="20" t="str">
        <f t="shared" ca="1" si="103"/>
        <v>Válida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34.5" customHeight="1" x14ac:dyDescent="0.25">
      <c r="A509" s="78">
        <v>35</v>
      </c>
      <c r="B509" s="79">
        <v>219</v>
      </c>
      <c r="C509" s="34">
        <v>2025</v>
      </c>
      <c r="D509" s="16" t="s">
        <v>765</v>
      </c>
      <c r="E509" s="16" t="s">
        <v>766</v>
      </c>
      <c r="F509" s="16" t="s">
        <v>1191</v>
      </c>
      <c r="G509" s="16" t="s">
        <v>67</v>
      </c>
      <c r="H509" s="16"/>
      <c r="I509" s="16" t="s">
        <v>1134</v>
      </c>
      <c r="J509" s="16"/>
      <c r="K509" s="31" t="s">
        <v>262</v>
      </c>
      <c r="L509" s="19">
        <v>49566</v>
      </c>
      <c r="M509" s="19">
        <v>46283</v>
      </c>
      <c r="N509" s="19">
        <f t="shared" si="105"/>
        <v>49386</v>
      </c>
      <c r="O509" s="20" t="str">
        <f t="shared" ca="1" si="103"/>
        <v>Válida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34.5" customHeight="1" x14ac:dyDescent="0.25">
      <c r="A510" s="78">
        <v>35</v>
      </c>
      <c r="B510" s="79">
        <v>2939</v>
      </c>
      <c r="C510" s="34">
        <v>2020</v>
      </c>
      <c r="D510" s="16" t="s">
        <v>1192</v>
      </c>
      <c r="E510" s="16" t="s">
        <v>766</v>
      </c>
      <c r="F510" s="16" t="s">
        <v>358</v>
      </c>
      <c r="G510" s="16" t="s">
        <v>48</v>
      </c>
      <c r="H510" s="16"/>
      <c r="I510" s="16" t="s">
        <v>1134</v>
      </c>
      <c r="J510" s="16"/>
      <c r="K510" s="31" t="s">
        <v>262</v>
      </c>
      <c r="L510" s="19">
        <v>46414</v>
      </c>
      <c r="M510" s="19">
        <v>46234</v>
      </c>
      <c r="N510" s="19">
        <f t="shared" si="105"/>
        <v>46234</v>
      </c>
      <c r="O510" s="20" t="str">
        <f t="shared" ca="1" si="103"/>
        <v>Válida</v>
      </c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34.5" customHeight="1" x14ac:dyDescent="0.25">
      <c r="A511" s="78">
        <v>36</v>
      </c>
      <c r="B511" s="79">
        <v>40174</v>
      </c>
      <c r="C511" s="34">
        <v>2021</v>
      </c>
      <c r="D511" s="16" t="s">
        <v>769</v>
      </c>
      <c r="E511" s="16" t="s">
        <v>770</v>
      </c>
      <c r="F511" s="16" t="s">
        <v>771</v>
      </c>
      <c r="G511" s="16" t="s">
        <v>48</v>
      </c>
      <c r="H511" s="16" t="s">
        <v>1136</v>
      </c>
      <c r="I511" s="16" t="s">
        <v>1134</v>
      </c>
      <c r="J511" s="16" t="s">
        <v>545</v>
      </c>
      <c r="K511" s="31" t="s">
        <v>262</v>
      </c>
      <c r="L511" s="19">
        <v>46441</v>
      </c>
      <c r="M511" s="19">
        <v>46261</v>
      </c>
      <c r="N511" s="19">
        <f t="shared" si="105"/>
        <v>46261</v>
      </c>
      <c r="O511" s="20" t="str">
        <f t="shared" ca="1" si="103"/>
        <v>Válida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34.5" customHeight="1" x14ac:dyDescent="0.25">
      <c r="A512" s="78">
        <v>36</v>
      </c>
      <c r="B512" s="79">
        <v>2743</v>
      </c>
      <c r="C512" s="34">
        <v>2020</v>
      </c>
      <c r="D512" s="16" t="s">
        <v>1193</v>
      </c>
      <c r="E512" s="16" t="s">
        <v>770</v>
      </c>
      <c r="F512" s="16" t="s">
        <v>771</v>
      </c>
      <c r="G512" s="16" t="s">
        <v>48</v>
      </c>
      <c r="H512" s="16"/>
      <c r="I512" s="16" t="s">
        <v>1134</v>
      </c>
      <c r="J512" s="16"/>
      <c r="K512" s="31" t="s">
        <v>262</v>
      </c>
      <c r="L512" s="19">
        <v>46634</v>
      </c>
      <c r="M512" s="19">
        <v>46089</v>
      </c>
      <c r="N512" s="19">
        <f t="shared" si="105"/>
        <v>46454</v>
      </c>
      <c r="O512" s="20" t="str">
        <f t="shared" ca="1" si="103"/>
        <v>Válida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34.5" customHeight="1" x14ac:dyDescent="0.25">
      <c r="A513" s="78">
        <v>37</v>
      </c>
      <c r="B513" s="79">
        <v>556</v>
      </c>
      <c r="C513" s="29">
        <v>2022</v>
      </c>
      <c r="D513" s="17" t="s">
        <v>1030</v>
      </c>
      <c r="E513" s="17" t="s">
        <v>1194</v>
      </c>
      <c r="F513" s="17" t="s">
        <v>238</v>
      </c>
      <c r="G513" s="16" t="s">
        <v>48</v>
      </c>
      <c r="H513" s="16"/>
      <c r="I513" s="29" t="s">
        <v>553</v>
      </c>
      <c r="J513" s="29"/>
      <c r="K513" s="31" t="s">
        <v>262</v>
      </c>
      <c r="L513" s="31">
        <v>46548</v>
      </c>
      <c r="M513" s="19">
        <v>46023</v>
      </c>
      <c r="N513" s="19">
        <f t="shared" si="105"/>
        <v>46368</v>
      </c>
      <c r="O513" s="20" t="str">
        <f t="shared" ca="1" si="103"/>
        <v>Válida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34.5" customHeight="1" x14ac:dyDescent="0.25">
      <c r="A514" s="78">
        <v>38</v>
      </c>
      <c r="B514" s="80">
        <v>395</v>
      </c>
      <c r="C514" s="15">
        <v>2025</v>
      </c>
      <c r="D514" s="15" t="s">
        <v>860</v>
      </c>
      <c r="E514" s="15" t="s">
        <v>862</v>
      </c>
      <c r="F514" s="15" t="s">
        <v>16</v>
      </c>
      <c r="G514" s="15" t="s">
        <v>17</v>
      </c>
      <c r="H514" s="15" t="s">
        <v>1133</v>
      </c>
      <c r="I514" s="15" t="s">
        <v>553</v>
      </c>
      <c r="J514" s="9" t="s">
        <v>1135</v>
      </c>
      <c r="K514" s="15" t="s">
        <v>262</v>
      </c>
      <c r="L514" s="14">
        <v>49331</v>
      </c>
      <c r="M514" s="10" t="s">
        <v>1195</v>
      </c>
      <c r="N514" s="10">
        <f t="shared" si="105"/>
        <v>49151</v>
      </c>
      <c r="O514" s="11" t="str">
        <f t="shared" ca="1" si="103"/>
        <v>Válida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34.5" customHeight="1" x14ac:dyDescent="0.25">
      <c r="A515" s="78">
        <v>39</v>
      </c>
      <c r="B515" s="79">
        <v>18960</v>
      </c>
      <c r="C515" s="8">
        <v>2024</v>
      </c>
      <c r="D515" s="8" t="s">
        <v>1196</v>
      </c>
      <c r="E515" s="8" t="s">
        <v>1075</v>
      </c>
      <c r="F515" s="8" t="s">
        <v>189</v>
      </c>
      <c r="G515" s="8" t="s">
        <v>67</v>
      </c>
      <c r="H515" s="8"/>
      <c r="I515" s="8" t="s">
        <v>1134</v>
      </c>
      <c r="J515" s="8"/>
      <c r="K515" s="10" t="s">
        <v>262</v>
      </c>
      <c r="L515" s="10">
        <v>49371</v>
      </c>
      <c r="M515" s="10">
        <v>46447</v>
      </c>
      <c r="N515" s="10">
        <v>49190</v>
      </c>
      <c r="O515" s="11" t="s">
        <v>385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34.5" customHeight="1" x14ac:dyDescent="0.25">
      <c r="A516" s="78">
        <v>40</v>
      </c>
      <c r="B516" s="79" t="s">
        <v>1197</v>
      </c>
      <c r="C516" s="8">
        <v>2020</v>
      </c>
      <c r="D516" s="8" t="s">
        <v>779</v>
      </c>
      <c r="E516" s="8" t="s">
        <v>780</v>
      </c>
      <c r="F516" s="8" t="s">
        <v>16</v>
      </c>
      <c r="G516" s="8" t="s">
        <v>17</v>
      </c>
      <c r="H516" s="8" t="s">
        <v>1133</v>
      </c>
      <c r="I516" s="8" t="s">
        <v>553</v>
      </c>
      <c r="J516" s="8" t="s">
        <v>1198</v>
      </c>
      <c r="K516" s="10" t="s">
        <v>262</v>
      </c>
      <c r="L516" s="10">
        <v>49628</v>
      </c>
      <c r="M516" s="10">
        <v>46341</v>
      </c>
      <c r="N516" s="10">
        <f>L516-180</f>
        <v>49448</v>
      </c>
      <c r="O516" s="11" t="str">
        <f t="shared" ref="O516:O520" ca="1" si="106">IF(L516&gt;TODAY(),"Válida",IF(ISBLANK(L516),"Andamento",IF(L516&lt;TODAY(),"Vencida",IF(L516-TODAY()&lt;90,"URGENTE",IF(L516-TODAY()&lt;150,"RENOVAÇÃO",)))))</f>
        <v>Válida</v>
      </c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34.5" customHeight="1" x14ac:dyDescent="0.25">
      <c r="A517" s="78">
        <v>41</v>
      </c>
      <c r="B517" s="88">
        <v>1849</v>
      </c>
      <c r="C517" s="21">
        <v>2024</v>
      </c>
      <c r="D517" s="8" t="s">
        <v>483</v>
      </c>
      <c r="E517" s="8" t="s">
        <v>484</v>
      </c>
      <c r="F517" s="8" t="s">
        <v>16</v>
      </c>
      <c r="G517" s="8" t="s">
        <v>1199</v>
      </c>
      <c r="H517" s="8" t="s">
        <v>1136</v>
      </c>
      <c r="I517" s="8" t="s">
        <v>553</v>
      </c>
      <c r="J517" s="8" t="s">
        <v>859</v>
      </c>
      <c r="K517" s="13" t="s">
        <v>262</v>
      </c>
      <c r="L517" s="10">
        <v>47364</v>
      </c>
      <c r="M517" s="10">
        <v>46268</v>
      </c>
      <c r="N517" s="10">
        <v>47180</v>
      </c>
      <c r="O517" s="11" t="str">
        <f t="shared" ca="1" si="106"/>
        <v>Válida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34.5" customHeight="1" x14ac:dyDescent="0.25">
      <c r="A518" s="78">
        <v>42</v>
      </c>
      <c r="B518" s="79" t="s">
        <v>1784</v>
      </c>
      <c r="C518" s="21">
        <v>2026</v>
      </c>
      <c r="D518" s="8" t="s">
        <v>784</v>
      </c>
      <c r="E518" s="8" t="s">
        <v>785</v>
      </c>
      <c r="F518" s="8" t="s">
        <v>238</v>
      </c>
      <c r="G518" s="8" t="s">
        <v>287</v>
      </c>
      <c r="H518" s="8" t="s">
        <v>1133</v>
      </c>
      <c r="I518" s="8" t="s">
        <v>1159</v>
      </c>
      <c r="J518" s="8" t="s">
        <v>786</v>
      </c>
      <c r="K518" s="10" t="s">
        <v>262</v>
      </c>
      <c r="L518" s="10">
        <v>49709</v>
      </c>
      <c r="M518" s="10">
        <v>46424</v>
      </c>
      <c r="N518" s="10">
        <f t="shared" ref="N518:N519" si="107">L518-180</f>
        <v>49529</v>
      </c>
      <c r="O518" s="11" t="str">
        <f t="shared" ca="1" si="106"/>
        <v>Válida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34.5" customHeight="1" x14ac:dyDescent="0.25">
      <c r="A519" s="78">
        <v>43</v>
      </c>
      <c r="B519" s="79">
        <v>30266</v>
      </c>
      <c r="C519" s="21">
        <v>2024</v>
      </c>
      <c r="D519" s="8" t="s">
        <v>1200</v>
      </c>
      <c r="E519" s="8" t="s">
        <v>1201</v>
      </c>
      <c r="F519" s="8" t="s">
        <v>350</v>
      </c>
      <c r="G519" s="8" t="s">
        <v>142</v>
      </c>
      <c r="H519" s="8"/>
      <c r="I519" s="8" t="s">
        <v>1159</v>
      </c>
      <c r="J519" s="8"/>
      <c r="K519" s="10" t="s">
        <v>262</v>
      </c>
      <c r="L519" s="10">
        <v>49412</v>
      </c>
      <c r="M519" s="10">
        <v>46125</v>
      </c>
      <c r="N519" s="10">
        <f t="shared" si="107"/>
        <v>49232</v>
      </c>
      <c r="O519" s="11" t="str">
        <f t="shared" ca="1" si="106"/>
        <v>Válida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34.5" customHeight="1" x14ac:dyDescent="0.25">
      <c r="A520" s="78">
        <v>44</v>
      </c>
      <c r="B520" s="90">
        <v>1979</v>
      </c>
      <c r="C520" s="9">
        <v>2023</v>
      </c>
      <c r="D520" s="9" t="s">
        <v>1093</v>
      </c>
      <c r="E520" s="9" t="s">
        <v>1094</v>
      </c>
      <c r="F520" s="9" t="s">
        <v>16</v>
      </c>
      <c r="G520" s="8" t="s">
        <v>1202</v>
      </c>
      <c r="H520" s="8"/>
      <c r="I520" s="9" t="s">
        <v>553</v>
      </c>
      <c r="J520" s="9"/>
      <c r="K520" s="13" t="s">
        <v>262</v>
      </c>
      <c r="L520" s="13">
        <v>47071</v>
      </c>
      <c r="M520" s="10">
        <v>46327</v>
      </c>
      <c r="N520" s="10">
        <v>46844</v>
      </c>
      <c r="O520" s="11" t="str">
        <f t="shared" ca="1" si="106"/>
        <v>Válida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34.5" customHeight="1" x14ac:dyDescent="0.25">
      <c r="A521" s="78">
        <v>45</v>
      </c>
      <c r="B521" s="80">
        <v>30208</v>
      </c>
      <c r="C521" s="17">
        <v>2021</v>
      </c>
      <c r="D521" s="17" t="s">
        <v>1041</v>
      </c>
      <c r="E521" s="17" t="s">
        <v>1042</v>
      </c>
      <c r="F521" s="17" t="s">
        <v>193</v>
      </c>
      <c r="G521" s="17" t="s">
        <v>48</v>
      </c>
      <c r="H521" s="16" t="s">
        <v>1133</v>
      </c>
      <c r="I521" s="17" t="s">
        <v>1134</v>
      </c>
      <c r="J521" s="17" t="s">
        <v>20</v>
      </c>
      <c r="K521" s="17" t="s">
        <v>262</v>
      </c>
      <c r="L521" s="36">
        <v>46404</v>
      </c>
      <c r="M521" s="19">
        <v>46235</v>
      </c>
      <c r="N521" s="19">
        <f t="shared" ref="N521:N522" si="108">L521-180</f>
        <v>46224</v>
      </c>
      <c r="O521" s="41" t="s">
        <v>30</v>
      </c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34.5" customHeight="1" x14ac:dyDescent="0.25">
      <c r="A522" s="78">
        <v>46</v>
      </c>
      <c r="B522" s="92">
        <v>1858</v>
      </c>
      <c r="C522" s="15">
        <v>2023</v>
      </c>
      <c r="D522" s="15" t="s">
        <v>331</v>
      </c>
      <c r="E522" s="15" t="s">
        <v>27</v>
      </c>
      <c r="F522" s="15" t="s">
        <v>328</v>
      </c>
      <c r="G522" s="15" t="s">
        <v>48</v>
      </c>
      <c r="H522" s="15" t="s">
        <v>1133</v>
      </c>
      <c r="I522" s="15" t="s">
        <v>553</v>
      </c>
      <c r="J522" s="9" t="s">
        <v>1135</v>
      </c>
      <c r="K522" s="15" t="s">
        <v>262</v>
      </c>
      <c r="L522" s="14">
        <v>47049</v>
      </c>
      <c r="M522" s="10">
        <v>46296</v>
      </c>
      <c r="N522" s="10">
        <f t="shared" si="108"/>
        <v>46869</v>
      </c>
      <c r="O522" s="41" t="s">
        <v>30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34.5" customHeight="1" x14ac:dyDescent="0.25">
      <c r="A523" s="78">
        <v>46</v>
      </c>
      <c r="B523" s="92">
        <v>3055</v>
      </c>
      <c r="C523" s="15">
        <v>2023</v>
      </c>
      <c r="D523" s="15" t="s">
        <v>326</v>
      </c>
      <c r="E523" s="15" t="s">
        <v>27</v>
      </c>
      <c r="F523" s="15" t="s">
        <v>328</v>
      </c>
      <c r="G523" s="15" t="s">
        <v>48</v>
      </c>
      <c r="H523" s="15"/>
      <c r="I523" s="15" t="s">
        <v>553</v>
      </c>
      <c r="J523" s="9"/>
      <c r="K523" s="15" t="s">
        <v>262</v>
      </c>
      <c r="L523" s="14">
        <v>47050</v>
      </c>
      <c r="M523" s="10">
        <v>46296</v>
      </c>
      <c r="N523" s="10">
        <v>46867</v>
      </c>
      <c r="O523" s="41" t="s">
        <v>30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34.5" customHeight="1" x14ac:dyDescent="0.25">
      <c r="A524" s="78">
        <v>47</v>
      </c>
      <c r="B524" s="79">
        <v>544</v>
      </c>
      <c r="C524" s="9">
        <v>2022</v>
      </c>
      <c r="D524" s="15" t="s">
        <v>839</v>
      </c>
      <c r="E524" s="15" t="s">
        <v>840</v>
      </c>
      <c r="F524" s="15" t="s">
        <v>16</v>
      </c>
      <c r="G524" s="8" t="s">
        <v>432</v>
      </c>
      <c r="H524" s="8"/>
      <c r="I524" s="9" t="s">
        <v>1159</v>
      </c>
      <c r="J524" s="9"/>
      <c r="K524" s="13" t="s">
        <v>262</v>
      </c>
      <c r="L524" s="13">
        <v>46547</v>
      </c>
      <c r="M524" s="13">
        <v>46023</v>
      </c>
      <c r="N524" s="10">
        <f t="shared" ref="N524:N533" si="109">L524-180</f>
        <v>46367</v>
      </c>
      <c r="O524" s="11" t="str">
        <f t="shared" ref="O524:O530" ca="1" si="110">IF(L524&gt;TODAY(),"Válida",IF(ISBLANK(L524),"Andamento",IF(L524&lt;TODAY(),"Vencida",IF(L524-TODAY()&lt;90,"URGENTE",IF(L524-TODAY()&lt;150,"RENOVAÇÃO",)))))</f>
        <v>Válida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34.5" customHeight="1" x14ac:dyDescent="0.25">
      <c r="A525" s="78">
        <v>48</v>
      </c>
      <c r="B525" s="80" t="s">
        <v>1203</v>
      </c>
      <c r="C525" s="15">
        <v>2023</v>
      </c>
      <c r="D525" s="15" t="s">
        <v>1204</v>
      </c>
      <c r="E525" s="15" t="s">
        <v>1205</v>
      </c>
      <c r="F525" s="15" t="s">
        <v>16</v>
      </c>
      <c r="G525" s="15" t="s">
        <v>17</v>
      </c>
      <c r="H525" s="8" t="s">
        <v>1136</v>
      </c>
      <c r="I525" s="15" t="s">
        <v>553</v>
      </c>
      <c r="J525" s="15" t="s">
        <v>1206</v>
      </c>
      <c r="K525" s="10" t="s">
        <v>262</v>
      </c>
      <c r="L525" s="14">
        <v>46829</v>
      </c>
      <c r="M525" s="10">
        <v>46649</v>
      </c>
      <c r="N525" s="10">
        <f t="shared" si="109"/>
        <v>46649</v>
      </c>
      <c r="O525" s="11" t="str">
        <f t="shared" ca="1" si="110"/>
        <v>Válida</v>
      </c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34.5" customHeight="1" x14ac:dyDescent="0.25">
      <c r="A526" s="78">
        <v>49</v>
      </c>
      <c r="B526" s="79">
        <v>2</v>
      </c>
      <c r="C526" s="9">
        <v>2022</v>
      </c>
      <c r="D526" s="9" t="s">
        <v>1207</v>
      </c>
      <c r="E526" s="9" t="s">
        <v>1208</v>
      </c>
      <c r="F526" s="9" t="s">
        <v>198</v>
      </c>
      <c r="G526" s="9" t="s">
        <v>914</v>
      </c>
      <c r="H526" s="8" t="s">
        <v>1133</v>
      </c>
      <c r="I526" s="9" t="s">
        <v>1159</v>
      </c>
      <c r="J526" s="9" t="s">
        <v>1135</v>
      </c>
      <c r="K526" s="13" t="s">
        <v>262</v>
      </c>
      <c r="L526" s="13">
        <v>46391</v>
      </c>
      <c r="M526" s="10">
        <v>46235</v>
      </c>
      <c r="N526" s="10">
        <f t="shared" si="109"/>
        <v>46211</v>
      </c>
      <c r="O526" s="11" t="str">
        <f t="shared" ca="1" si="110"/>
        <v>Válida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34.5" customHeight="1" x14ac:dyDescent="0.25">
      <c r="A527" s="78">
        <v>50</v>
      </c>
      <c r="B527" s="88">
        <v>1845</v>
      </c>
      <c r="C527" s="9">
        <v>2024</v>
      </c>
      <c r="D527" s="9" t="s">
        <v>471</v>
      </c>
      <c r="E527" s="9" t="s">
        <v>472</v>
      </c>
      <c r="F527" s="9" t="s">
        <v>16</v>
      </c>
      <c r="G527" s="9" t="s">
        <v>17</v>
      </c>
      <c r="H527" s="8"/>
      <c r="I527" s="9" t="s">
        <v>553</v>
      </c>
      <c r="J527" s="9"/>
      <c r="K527" s="13" t="s">
        <v>262</v>
      </c>
      <c r="L527" s="13">
        <v>47364</v>
      </c>
      <c r="M527" s="13">
        <v>46268</v>
      </c>
      <c r="N527" s="10">
        <f t="shared" si="109"/>
        <v>47184</v>
      </c>
      <c r="O527" s="11" t="str">
        <f t="shared" ca="1" si="110"/>
        <v>Válida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34.5" customHeight="1" x14ac:dyDescent="0.25">
      <c r="A528" s="78">
        <v>51</v>
      </c>
      <c r="B528" s="79">
        <v>556</v>
      </c>
      <c r="C528" s="29">
        <v>2022</v>
      </c>
      <c r="D528" s="17" t="s">
        <v>1030</v>
      </c>
      <c r="E528" s="17" t="s">
        <v>1194</v>
      </c>
      <c r="F528" s="17" t="s">
        <v>238</v>
      </c>
      <c r="G528" s="16" t="s">
        <v>432</v>
      </c>
      <c r="H528" s="16"/>
      <c r="I528" s="29" t="s">
        <v>1159</v>
      </c>
      <c r="J528" s="29"/>
      <c r="K528" s="31" t="s">
        <v>262</v>
      </c>
      <c r="L528" s="31">
        <v>46548</v>
      </c>
      <c r="M528" s="31">
        <v>46296</v>
      </c>
      <c r="N528" s="19">
        <f t="shared" si="109"/>
        <v>46368</v>
      </c>
      <c r="O528" s="20" t="str">
        <f t="shared" ca="1" si="110"/>
        <v>Válida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34.5" customHeight="1" x14ac:dyDescent="0.25">
      <c r="A529" s="78">
        <v>51</v>
      </c>
      <c r="B529" s="79" t="s">
        <v>1209</v>
      </c>
      <c r="C529" s="8">
        <v>2022</v>
      </c>
      <c r="D529" s="8" t="s">
        <v>1006</v>
      </c>
      <c r="E529" s="8" t="s">
        <v>1210</v>
      </c>
      <c r="F529" s="8" t="s">
        <v>238</v>
      </c>
      <c r="G529" s="8" t="s">
        <v>1008</v>
      </c>
      <c r="H529" s="8"/>
      <c r="I529" s="9" t="s">
        <v>1159</v>
      </c>
      <c r="J529" s="9"/>
      <c r="K529" s="13" t="s">
        <v>262</v>
      </c>
      <c r="L529" s="13">
        <v>46560</v>
      </c>
      <c r="M529" s="13">
        <v>45962</v>
      </c>
      <c r="N529" s="10">
        <f t="shared" si="109"/>
        <v>46380</v>
      </c>
      <c r="O529" s="11" t="str">
        <f t="shared" ca="1" si="110"/>
        <v>Válida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34.5" customHeight="1" x14ac:dyDescent="0.25">
      <c r="A530" s="78">
        <v>51</v>
      </c>
      <c r="B530" s="88">
        <v>1131</v>
      </c>
      <c r="C530" s="8">
        <v>20524</v>
      </c>
      <c r="D530" s="8" t="s">
        <v>1110</v>
      </c>
      <c r="E530" s="8" t="s">
        <v>1211</v>
      </c>
      <c r="F530" s="8" t="s">
        <v>1021</v>
      </c>
      <c r="G530" s="8" t="s">
        <v>217</v>
      </c>
      <c r="H530" s="8"/>
      <c r="I530" s="9" t="s">
        <v>1159</v>
      </c>
      <c r="J530" s="9"/>
      <c r="K530" s="13" t="s">
        <v>262</v>
      </c>
      <c r="L530" s="13">
        <v>47273</v>
      </c>
      <c r="M530" s="13">
        <v>45812</v>
      </c>
      <c r="N530" s="10">
        <f t="shared" si="109"/>
        <v>47093</v>
      </c>
      <c r="O530" s="11" t="str">
        <f t="shared" ca="1" si="110"/>
        <v>Válida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34.5" customHeight="1" x14ac:dyDescent="0.25">
      <c r="A531" s="78">
        <v>52</v>
      </c>
      <c r="B531" s="79">
        <v>769</v>
      </c>
      <c r="C531" s="16">
        <v>2023</v>
      </c>
      <c r="D531" s="16" t="s">
        <v>637</v>
      </c>
      <c r="E531" s="16" t="s">
        <v>638</v>
      </c>
      <c r="F531" s="16" t="s">
        <v>16</v>
      </c>
      <c r="G531" s="16" t="s">
        <v>195</v>
      </c>
      <c r="H531" s="16"/>
      <c r="I531" s="29" t="s">
        <v>1159</v>
      </c>
      <c r="J531" s="29"/>
      <c r="K531" s="31" t="s">
        <v>262</v>
      </c>
      <c r="L531" s="31">
        <v>46797</v>
      </c>
      <c r="M531" s="31">
        <v>46617</v>
      </c>
      <c r="N531" s="19">
        <f t="shared" si="109"/>
        <v>46617</v>
      </c>
      <c r="O531" s="20" t="s">
        <v>1212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34.5" customHeight="1" x14ac:dyDescent="0.25">
      <c r="A532" s="78">
        <v>52</v>
      </c>
      <c r="B532" s="79">
        <v>21819</v>
      </c>
      <c r="C532" s="16">
        <v>2022</v>
      </c>
      <c r="D532" s="16" t="s">
        <v>637</v>
      </c>
      <c r="E532" s="16" t="s">
        <v>638</v>
      </c>
      <c r="F532" s="16" t="s">
        <v>16</v>
      </c>
      <c r="G532" s="16" t="s">
        <v>195</v>
      </c>
      <c r="H532" s="16"/>
      <c r="I532" s="29" t="s">
        <v>1213</v>
      </c>
      <c r="J532" s="29"/>
      <c r="K532" s="31" t="s">
        <v>262</v>
      </c>
      <c r="L532" s="31">
        <v>46656</v>
      </c>
      <c r="M532" s="31">
        <v>46296</v>
      </c>
      <c r="N532" s="19">
        <f t="shared" si="109"/>
        <v>46476</v>
      </c>
      <c r="O532" s="20" t="str">
        <f t="shared" ref="O532:O537" ca="1" si="111">IF(L532&gt;TODAY(),"Válida",IF(ISBLANK(L532),"Andamento",IF(L532&lt;TODAY(),"Vencida",IF(L532-TODAY()&lt;90,"URGENTE",IF(L532-TODAY()&lt;150,"RENOVAÇÃO",)))))</f>
        <v>Válida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34.5" customHeight="1" x14ac:dyDescent="0.25">
      <c r="A533" s="78">
        <v>52</v>
      </c>
      <c r="B533" s="79">
        <v>36313</v>
      </c>
      <c r="C533" s="8">
        <v>2022</v>
      </c>
      <c r="D533" s="8" t="s">
        <v>1214</v>
      </c>
      <c r="E533" s="8" t="s">
        <v>185</v>
      </c>
      <c r="F533" s="8" t="s">
        <v>203</v>
      </c>
      <c r="G533" s="8" t="s">
        <v>48</v>
      </c>
      <c r="H533" s="8"/>
      <c r="I533" s="9" t="s">
        <v>1134</v>
      </c>
      <c r="J533" s="9" t="s">
        <v>1134</v>
      </c>
      <c r="K533" s="13" t="s">
        <v>262</v>
      </c>
      <c r="L533" s="13">
        <v>46875</v>
      </c>
      <c r="M533" s="13">
        <v>46143</v>
      </c>
      <c r="N533" s="10">
        <f t="shared" si="109"/>
        <v>46695</v>
      </c>
      <c r="O533" s="11" t="str">
        <f t="shared" ca="1" si="111"/>
        <v>Válida</v>
      </c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34.5" customHeight="1" x14ac:dyDescent="0.25">
      <c r="A534" s="78">
        <v>52</v>
      </c>
      <c r="B534" s="79">
        <v>21801</v>
      </c>
      <c r="C534" s="8">
        <v>2022</v>
      </c>
      <c r="D534" s="8" t="s">
        <v>239</v>
      </c>
      <c r="E534" s="8" t="s">
        <v>1215</v>
      </c>
      <c r="F534" s="8" t="s">
        <v>212</v>
      </c>
      <c r="G534" s="8" t="s">
        <v>240</v>
      </c>
      <c r="H534" s="8"/>
      <c r="I534" s="9" t="s">
        <v>1134</v>
      </c>
      <c r="J534" s="9" t="s">
        <v>1134</v>
      </c>
      <c r="K534" s="13" t="s">
        <v>262</v>
      </c>
      <c r="L534" s="13">
        <v>46770</v>
      </c>
      <c r="M534" s="13">
        <v>46569</v>
      </c>
      <c r="N534" s="10">
        <v>46586</v>
      </c>
      <c r="O534" s="11" t="str">
        <f t="shared" ca="1" si="111"/>
        <v>Válida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34.5" customHeight="1" x14ac:dyDescent="0.25">
      <c r="A535" s="78">
        <v>53</v>
      </c>
      <c r="B535" s="79">
        <v>1921</v>
      </c>
      <c r="C535" s="8">
        <v>2025</v>
      </c>
      <c r="D535" s="8" t="s">
        <v>972</v>
      </c>
      <c r="E535" s="8" t="s">
        <v>973</v>
      </c>
      <c r="F535" s="8" t="s">
        <v>119</v>
      </c>
      <c r="G535" s="8" t="s">
        <v>1216</v>
      </c>
      <c r="H535" s="8"/>
      <c r="I535" s="9" t="s">
        <v>553</v>
      </c>
      <c r="J535" s="9"/>
      <c r="K535" s="13" t="s">
        <v>262</v>
      </c>
      <c r="L535" s="13">
        <v>49628</v>
      </c>
      <c r="M535" s="13">
        <v>46341</v>
      </c>
      <c r="N535" s="10">
        <f t="shared" ref="N535:N537" si="112">L535-180</f>
        <v>49448</v>
      </c>
      <c r="O535" s="11" t="str">
        <f t="shared" ca="1" si="111"/>
        <v>Válida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34.5" customHeight="1" x14ac:dyDescent="0.25">
      <c r="A536" s="78">
        <v>53</v>
      </c>
      <c r="B536" s="79" t="s">
        <v>1217</v>
      </c>
      <c r="C536" s="8">
        <v>2022</v>
      </c>
      <c r="D536" s="8" t="s">
        <v>978</v>
      </c>
      <c r="E536" s="8" t="s">
        <v>979</v>
      </c>
      <c r="F536" s="8" t="s">
        <v>212</v>
      </c>
      <c r="G536" s="8" t="s">
        <v>579</v>
      </c>
      <c r="H536" s="8"/>
      <c r="I536" s="9" t="s">
        <v>1159</v>
      </c>
      <c r="J536" s="9"/>
      <c r="K536" s="13" t="s">
        <v>262</v>
      </c>
      <c r="L536" s="13">
        <v>46504</v>
      </c>
      <c r="M536" s="13">
        <v>46113</v>
      </c>
      <c r="N536" s="10">
        <f t="shared" si="112"/>
        <v>46324</v>
      </c>
      <c r="O536" s="11" t="str">
        <f t="shared" ca="1" si="111"/>
        <v>Válida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34.5" customHeight="1" x14ac:dyDescent="0.25">
      <c r="A537" s="78">
        <v>53</v>
      </c>
      <c r="B537" s="79">
        <v>382</v>
      </c>
      <c r="C537" s="16">
        <v>2024</v>
      </c>
      <c r="D537" s="16" t="s">
        <v>616</v>
      </c>
      <c r="E537" s="16" t="s">
        <v>1218</v>
      </c>
      <c r="F537" s="16" t="s">
        <v>1219</v>
      </c>
      <c r="G537" s="16" t="s">
        <v>67</v>
      </c>
      <c r="H537" s="16"/>
      <c r="I537" s="17" t="s">
        <v>553</v>
      </c>
      <c r="J537" s="29"/>
      <c r="K537" s="31" t="s">
        <v>618</v>
      </c>
      <c r="L537" s="31">
        <v>47141</v>
      </c>
      <c r="M537" s="31">
        <v>46961</v>
      </c>
      <c r="N537" s="19">
        <f t="shared" si="112"/>
        <v>46961</v>
      </c>
      <c r="O537" s="20" t="str">
        <f t="shared" ca="1" si="111"/>
        <v>Válida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34.5" customHeight="1" x14ac:dyDescent="0.25">
      <c r="A538" s="78">
        <v>53</v>
      </c>
      <c r="B538" s="79" t="s">
        <v>1803</v>
      </c>
      <c r="C538" s="205">
        <v>2025</v>
      </c>
      <c r="D538" s="205" t="s">
        <v>616</v>
      </c>
      <c r="E538" s="205" t="s">
        <v>1218</v>
      </c>
      <c r="F538" s="205" t="s">
        <v>1219</v>
      </c>
      <c r="G538" s="205" t="s">
        <v>67</v>
      </c>
      <c r="H538" s="205"/>
      <c r="I538" s="206" t="s">
        <v>1138</v>
      </c>
      <c r="J538" s="207"/>
      <c r="K538" s="208" t="s">
        <v>618</v>
      </c>
      <c r="L538" s="208"/>
      <c r="M538" s="208"/>
      <c r="N538" s="209"/>
      <c r="O538" s="210" t="s">
        <v>560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34.5" customHeight="1" x14ac:dyDescent="0.25">
      <c r="A539" s="78">
        <v>54</v>
      </c>
      <c r="B539" s="79">
        <v>55027</v>
      </c>
      <c r="C539" s="8">
        <v>2023</v>
      </c>
      <c r="D539" s="8" t="s">
        <v>1045</v>
      </c>
      <c r="E539" s="8" t="s">
        <v>1046</v>
      </c>
      <c r="F539" s="8" t="s">
        <v>16</v>
      </c>
      <c r="G539" s="10" t="s">
        <v>17</v>
      </c>
      <c r="H539" s="8"/>
      <c r="I539" s="15" t="s">
        <v>1134</v>
      </c>
      <c r="J539" s="9"/>
      <c r="K539" s="13" t="s">
        <v>262</v>
      </c>
      <c r="L539" s="10">
        <v>47190</v>
      </c>
      <c r="M539" s="13">
        <v>46094</v>
      </c>
      <c r="N539" s="10">
        <v>47009</v>
      </c>
      <c r="O539" s="11" t="s">
        <v>30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34.5" customHeight="1" x14ac:dyDescent="0.25">
      <c r="A540" s="78">
        <v>55</v>
      </c>
      <c r="B540" s="79">
        <v>245</v>
      </c>
      <c r="C540" s="16">
        <v>2025</v>
      </c>
      <c r="D540" s="16" t="s">
        <v>619</v>
      </c>
      <c r="E540" s="16" t="s">
        <v>620</v>
      </c>
      <c r="F540" s="16" t="s">
        <v>1220</v>
      </c>
      <c r="G540" s="19" t="s">
        <v>217</v>
      </c>
      <c r="H540" s="16"/>
      <c r="I540" s="17" t="s">
        <v>553</v>
      </c>
      <c r="J540" s="29"/>
      <c r="K540" s="31" t="s">
        <v>618</v>
      </c>
      <c r="L540" s="19">
        <v>47503</v>
      </c>
      <c r="M540" s="31">
        <v>47289</v>
      </c>
      <c r="N540" s="19">
        <v>47289</v>
      </c>
      <c r="O540" s="20" t="s">
        <v>30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34.5" customHeight="1" x14ac:dyDescent="0.25">
      <c r="A541" s="78">
        <v>55</v>
      </c>
      <c r="B541" s="79">
        <v>4001</v>
      </c>
      <c r="C541" s="16">
        <v>2022</v>
      </c>
      <c r="D541" s="16" t="s">
        <v>623</v>
      </c>
      <c r="E541" s="16" t="s">
        <v>624</v>
      </c>
      <c r="F541" s="16" t="s">
        <v>1220</v>
      </c>
      <c r="G541" s="19" t="s">
        <v>217</v>
      </c>
      <c r="H541" s="16"/>
      <c r="I541" s="17" t="s">
        <v>553</v>
      </c>
      <c r="J541" s="29"/>
      <c r="K541" s="31" t="s">
        <v>618</v>
      </c>
      <c r="L541" s="19">
        <v>46667</v>
      </c>
      <c r="M541" s="31">
        <v>46487</v>
      </c>
      <c r="N541" s="19">
        <f t="shared" ref="N541:N543" si="113">L541-180</f>
        <v>46487</v>
      </c>
      <c r="O541" s="20" t="s">
        <v>30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34.5" customHeight="1" x14ac:dyDescent="0.25">
      <c r="A542" s="78">
        <v>55</v>
      </c>
      <c r="B542" s="79">
        <v>416</v>
      </c>
      <c r="C542" s="23">
        <v>2021</v>
      </c>
      <c r="D542" s="23" t="s">
        <v>625</v>
      </c>
      <c r="E542" s="23" t="s">
        <v>626</v>
      </c>
      <c r="F542" s="23" t="s">
        <v>1806</v>
      </c>
      <c r="G542" s="25" t="s">
        <v>217</v>
      </c>
      <c r="H542" s="23"/>
      <c r="I542" s="61" t="s">
        <v>553</v>
      </c>
      <c r="J542" s="24"/>
      <c r="K542" s="40" t="s">
        <v>618</v>
      </c>
      <c r="L542" s="25">
        <v>46042</v>
      </c>
      <c r="M542" s="40">
        <v>45839</v>
      </c>
      <c r="N542" s="25">
        <f t="shared" si="113"/>
        <v>45862</v>
      </c>
      <c r="O542" s="26" t="s">
        <v>30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34.5" customHeight="1" x14ac:dyDescent="0.25">
      <c r="A543" s="78">
        <v>56</v>
      </c>
      <c r="B543" s="79">
        <v>33615</v>
      </c>
      <c r="C543" s="8">
        <v>2022</v>
      </c>
      <c r="D543" s="8" t="s">
        <v>341</v>
      </c>
      <c r="E543" s="8" t="s">
        <v>1221</v>
      </c>
      <c r="F543" s="8" t="s">
        <v>16</v>
      </c>
      <c r="G543" s="8" t="s">
        <v>58</v>
      </c>
      <c r="H543" s="8"/>
      <c r="I543" s="15" t="s">
        <v>1134</v>
      </c>
      <c r="J543" s="8"/>
      <c r="K543" s="8" t="s">
        <v>262</v>
      </c>
      <c r="L543" s="10">
        <v>46882</v>
      </c>
      <c r="M543" s="13">
        <v>46143</v>
      </c>
      <c r="N543" s="10">
        <f t="shared" si="113"/>
        <v>46702</v>
      </c>
      <c r="O543" s="11" t="s">
        <v>30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34.5" customHeight="1" x14ac:dyDescent="0.25">
      <c r="A544" s="78">
        <v>56</v>
      </c>
      <c r="B544" s="79" t="s">
        <v>1222</v>
      </c>
      <c r="C544" s="8">
        <v>2025</v>
      </c>
      <c r="D544" s="8" t="s">
        <v>1223</v>
      </c>
      <c r="E544" s="8" t="s">
        <v>1224</v>
      </c>
      <c r="F544" s="8" t="s">
        <v>16</v>
      </c>
      <c r="G544" s="8" t="s">
        <v>58</v>
      </c>
      <c r="H544" s="8"/>
      <c r="I544" s="15" t="s">
        <v>1134</v>
      </c>
      <c r="J544" s="8"/>
      <c r="K544" s="8" t="s">
        <v>262</v>
      </c>
      <c r="L544" s="10">
        <v>49483</v>
      </c>
      <c r="M544" s="13">
        <v>46174</v>
      </c>
      <c r="N544" s="10">
        <v>49301</v>
      </c>
      <c r="O544" s="11" t="s">
        <v>30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34.5" customHeight="1" x14ac:dyDescent="0.25">
      <c r="A545" s="78">
        <v>56</v>
      </c>
      <c r="B545" s="79">
        <v>24674</v>
      </c>
      <c r="C545" s="8">
        <v>2024</v>
      </c>
      <c r="D545" s="8" t="s">
        <v>234</v>
      </c>
      <c r="E545" s="8" t="s">
        <v>237</v>
      </c>
      <c r="F545" s="8" t="s">
        <v>238</v>
      </c>
      <c r="G545" s="8" t="s">
        <v>287</v>
      </c>
      <c r="H545" s="8"/>
      <c r="I545" s="15" t="s">
        <v>1134</v>
      </c>
      <c r="J545" s="8"/>
      <c r="K545" s="8" t="s">
        <v>262</v>
      </c>
      <c r="L545" s="10">
        <v>49392</v>
      </c>
      <c r="M545" s="13">
        <v>46470</v>
      </c>
      <c r="N545" s="10">
        <v>49211</v>
      </c>
      <c r="O545" s="11" t="s">
        <v>30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34.5" customHeight="1" x14ac:dyDescent="0.25">
      <c r="A546" s="78">
        <v>56</v>
      </c>
      <c r="B546" s="79">
        <v>35142</v>
      </c>
      <c r="C546" s="8">
        <v>2022</v>
      </c>
      <c r="D546" s="8" t="s">
        <v>234</v>
      </c>
      <c r="E546" s="8" t="s">
        <v>1225</v>
      </c>
      <c r="F546" s="8" t="s">
        <v>16</v>
      </c>
      <c r="G546" s="8" t="s">
        <v>195</v>
      </c>
      <c r="H546" s="8"/>
      <c r="I546" s="15" t="s">
        <v>1134</v>
      </c>
      <c r="J546" s="8"/>
      <c r="K546" s="8" t="s">
        <v>262</v>
      </c>
      <c r="L546" s="10">
        <v>46904</v>
      </c>
      <c r="M546" s="13">
        <v>46174</v>
      </c>
      <c r="N546" s="10">
        <f t="shared" ref="N546:N549" si="114">L546-180</f>
        <v>46724</v>
      </c>
      <c r="O546" s="11" t="s">
        <v>30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34.5" customHeight="1" x14ac:dyDescent="0.25">
      <c r="A547" s="78">
        <v>57</v>
      </c>
      <c r="B547" s="79">
        <v>2743</v>
      </c>
      <c r="C547" s="8">
        <v>2020</v>
      </c>
      <c r="D547" s="8" t="s">
        <v>769</v>
      </c>
      <c r="E547" s="8" t="s">
        <v>1226</v>
      </c>
      <c r="F547" s="8" t="s">
        <v>771</v>
      </c>
      <c r="G547" s="8" t="s">
        <v>48</v>
      </c>
      <c r="H547" s="8"/>
      <c r="I547" s="8" t="s">
        <v>1134</v>
      </c>
      <c r="J547" s="8"/>
      <c r="K547" s="8" t="s">
        <v>262</v>
      </c>
      <c r="L547" s="10">
        <v>46634</v>
      </c>
      <c r="M547" s="13">
        <v>46327</v>
      </c>
      <c r="N547" s="10">
        <f t="shared" si="114"/>
        <v>46454</v>
      </c>
      <c r="O547" s="11" t="s">
        <v>30</v>
      </c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34.5" customHeight="1" x14ac:dyDescent="0.25">
      <c r="A548" s="78">
        <v>58</v>
      </c>
      <c r="B548" s="79">
        <v>38347</v>
      </c>
      <c r="C548" s="8">
        <v>2022</v>
      </c>
      <c r="D548" s="8" t="s">
        <v>848</v>
      </c>
      <c r="E548" s="8" t="s">
        <v>1227</v>
      </c>
      <c r="F548" s="8" t="s">
        <v>530</v>
      </c>
      <c r="G548" s="8" t="s">
        <v>67</v>
      </c>
      <c r="H548" s="8"/>
      <c r="I548" s="8" t="s">
        <v>1134</v>
      </c>
      <c r="J548" s="8"/>
      <c r="K548" s="8" t="s">
        <v>262</v>
      </c>
      <c r="L548" s="10">
        <v>46824</v>
      </c>
      <c r="M548" s="13">
        <v>46447</v>
      </c>
      <c r="N548" s="10">
        <f t="shared" si="114"/>
        <v>46644</v>
      </c>
      <c r="O548" s="11" t="s">
        <v>30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34.5" customHeight="1" x14ac:dyDescent="0.25">
      <c r="A549" s="78">
        <v>59</v>
      </c>
      <c r="B549" s="79">
        <v>37688</v>
      </c>
      <c r="C549" s="8">
        <v>2022</v>
      </c>
      <c r="D549" s="8" t="s">
        <v>441</v>
      </c>
      <c r="E549" s="8" t="s">
        <v>442</v>
      </c>
      <c r="F549" s="8" t="s">
        <v>16</v>
      </c>
      <c r="G549" s="8" t="s">
        <v>1228</v>
      </c>
      <c r="H549" s="8"/>
      <c r="I549" s="8" t="s">
        <v>1134</v>
      </c>
      <c r="J549" s="8"/>
      <c r="K549" s="8" t="s">
        <v>262</v>
      </c>
      <c r="L549" s="10">
        <v>46853</v>
      </c>
      <c r="M549" s="13">
        <v>46113</v>
      </c>
      <c r="N549" s="10">
        <f t="shared" si="114"/>
        <v>46673</v>
      </c>
      <c r="O549" s="11" t="s">
        <v>30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34.5" customHeight="1" x14ac:dyDescent="0.25">
      <c r="A550" s="93">
        <v>60</v>
      </c>
      <c r="B550" s="79">
        <v>16025</v>
      </c>
      <c r="C550" s="8">
        <v>2024</v>
      </c>
      <c r="D550" s="8" t="s">
        <v>909</v>
      </c>
      <c r="E550" s="8" t="s">
        <v>910</v>
      </c>
      <c r="F550" s="8" t="s">
        <v>16</v>
      </c>
      <c r="G550" s="8" t="s">
        <v>412</v>
      </c>
      <c r="H550" s="8"/>
      <c r="I550" s="8" t="s">
        <v>1134</v>
      </c>
      <c r="J550" s="8"/>
      <c r="K550" s="8" t="s">
        <v>262</v>
      </c>
      <c r="L550" s="10">
        <v>49446</v>
      </c>
      <c r="M550" s="13">
        <v>46143</v>
      </c>
      <c r="N550" s="10">
        <v>49265</v>
      </c>
      <c r="O550" s="11" t="s">
        <v>30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34.5" customHeight="1" x14ac:dyDescent="0.25">
      <c r="A551" s="78">
        <v>61</v>
      </c>
      <c r="B551" s="79">
        <v>37844</v>
      </c>
      <c r="C551" s="8">
        <v>2022</v>
      </c>
      <c r="D551" s="8" t="s">
        <v>263</v>
      </c>
      <c r="E551" s="8" t="s">
        <v>1229</v>
      </c>
      <c r="F551" s="8" t="s">
        <v>16</v>
      </c>
      <c r="G551" s="8" t="s">
        <v>58</v>
      </c>
      <c r="H551" s="8"/>
      <c r="I551" s="8" t="s">
        <v>1134</v>
      </c>
      <c r="J551" s="8"/>
      <c r="K551" s="8" t="s">
        <v>262</v>
      </c>
      <c r="L551" s="10">
        <v>46869</v>
      </c>
      <c r="M551" s="13">
        <v>46113</v>
      </c>
      <c r="N551" s="10">
        <f>L551-180</f>
        <v>46689</v>
      </c>
      <c r="O551" s="11" t="s">
        <v>30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34.5" customHeight="1" x14ac:dyDescent="0.25">
      <c r="A552" s="78">
        <v>62</v>
      </c>
      <c r="B552" s="79" t="s">
        <v>1230</v>
      </c>
      <c r="C552" s="16">
        <v>2024</v>
      </c>
      <c r="D552" s="16" t="s">
        <v>1097</v>
      </c>
      <c r="E552" s="16" t="s">
        <v>1098</v>
      </c>
      <c r="F552" s="16" t="s">
        <v>16</v>
      </c>
      <c r="G552" s="16" t="s">
        <v>17</v>
      </c>
      <c r="H552" s="16"/>
      <c r="I552" s="16" t="s">
        <v>1159</v>
      </c>
      <c r="J552" s="16"/>
      <c r="K552" s="16" t="s">
        <v>262</v>
      </c>
      <c r="L552" s="19">
        <v>47199</v>
      </c>
      <c r="M552" s="32">
        <v>46468</v>
      </c>
      <c r="N552" s="19">
        <v>47018</v>
      </c>
      <c r="O552" s="11" t="s">
        <v>30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34.5" customHeight="1" x14ac:dyDescent="0.25">
      <c r="A553" s="78">
        <v>63</v>
      </c>
      <c r="B553" s="79">
        <v>40657</v>
      </c>
      <c r="C553" s="8">
        <v>2022</v>
      </c>
      <c r="D553" s="8" t="s">
        <v>344</v>
      </c>
      <c r="E553" s="8" t="s">
        <v>345</v>
      </c>
      <c r="F553" s="8" t="s">
        <v>1231</v>
      </c>
      <c r="G553" s="8" t="s">
        <v>1232</v>
      </c>
      <c r="H553" s="8"/>
      <c r="I553" s="8" t="s">
        <v>1233</v>
      </c>
      <c r="J553" s="8"/>
      <c r="K553" s="8" t="s">
        <v>262</v>
      </c>
      <c r="L553" s="10">
        <v>46886</v>
      </c>
      <c r="M553" s="13">
        <v>46143</v>
      </c>
      <c r="N553" s="10">
        <f>L553-180</f>
        <v>46706</v>
      </c>
      <c r="O553" s="11" t="s">
        <v>30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34.5" customHeight="1" x14ac:dyDescent="0.25">
      <c r="A554" s="78">
        <v>64</v>
      </c>
      <c r="B554" s="79" t="s">
        <v>1234</v>
      </c>
      <c r="C554" s="8">
        <v>2024</v>
      </c>
      <c r="D554" s="8" t="s">
        <v>234</v>
      </c>
      <c r="E554" s="8" t="s">
        <v>1235</v>
      </c>
      <c r="F554" s="8" t="s">
        <v>1231</v>
      </c>
      <c r="G554" s="8" t="s">
        <v>1232</v>
      </c>
      <c r="H554" s="8"/>
      <c r="I554" s="8" t="s">
        <v>1233</v>
      </c>
      <c r="J554" s="8"/>
      <c r="K554" s="8" t="s">
        <v>262</v>
      </c>
      <c r="L554" s="10">
        <v>46593</v>
      </c>
      <c r="M554" s="13">
        <v>46565</v>
      </c>
      <c r="N554" s="10">
        <v>46565</v>
      </c>
      <c r="O554" s="11" t="s">
        <v>30</v>
      </c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34.5" customHeight="1" x14ac:dyDescent="0.25">
      <c r="A555" s="93">
        <v>65</v>
      </c>
      <c r="B555" s="79">
        <v>530</v>
      </c>
      <c r="C555" s="8">
        <v>2022</v>
      </c>
      <c r="D555" s="8" t="s">
        <v>1236</v>
      </c>
      <c r="E555" s="8" t="s">
        <v>1237</v>
      </c>
      <c r="F555" s="8" t="s">
        <v>16</v>
      </c>
      <c r="G555" s="8" t="s">
        <v>1005</v>
      </c>
      <c r="H555" s="8"/>
      <c r="I555" s="8" t="s">
        <v>1159</v>
      </c>
      <c r="J555" s="8"/>
      <c r="K555" s="8" t="s">
        <v>262</v>
      </c>
      <c r="L555" s="10">
        <v>46741</v>
      </c>
      <c r="M555" s="13">
        <v>46113</v>
      </c>
      <c r="N555" s="10">
        <f t="shared" ref="N555:N561" si="115">L555-180</f>
        <v>46561</v>
      </c>
      <c r="O555" s="11" t="s">
        <v>30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34.5" customHeight="1" x14ac:dyDescent="0.25">
      <c r="A556" s="78">
        <v>65</v>
      </c>
      <c r="B556" s="79">
        <v>45037</v>
      </c>
      <c r="C556" s="8">
        <v>2023</v>
      </c>
      <c r="D556" s="8" t="s">
        <v>1035</v>
      </c>
      <c r="E556" s="8" t="s">
        <v>1036</v>
      </c>
      <c r="F556" s="8" t="s">
        <v>350</v>
      </c>
      <c r="G556" s="8" t="s">
        <v>142</v>
      </c>
      <c r="H556" s="8"/>
      <c r="I556" s="8" t="s">
        <v>1138</v>
      </c>
      <c r="J556" s="8"/>
      <c r="K556" s="8" t="s">
        <v>262</v>
      </c>
      <c r="L556" s="10">
        <v>49197</v>
      </c>
      <c r="M556" s="13">
        <v>46275</v>
      </c>
      <c r="N556" s="10">
        <f t="shared" si="115"/>
        <v>49017</v>
      </c>
      <c r="O556" s="11" t="s">
        <v>30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34.5" customHeight="1" x14ac:dyDescent="0.25">
      <c r="A557" s="93">
        <v>66</v>
      </c>
      <c r="B557" s="79">
        <v>719</v>
      </c>
      <c r="C557" s="16">
        <v>2023</v>
      </c>
      <c r="D557" s="16" t="s">
        <v>596</v>
      </c>
      <c r="E557" s="16" t="s">
        <v>597</v>
      </c>
      <c r="F557" s="16" t="s">
        <v>445</v>
      </c>
      <c r="G557" s="16" t="s">
        <v>432</v>
      </c>
      <c r="H557" s="16"/>
      <c r="I557" s="16" t="s">
        <v>1159</v>
      </c>
      <c r="J557" s="16"/>
      <c r="K557" s="16" t="s">
        <v>262</v>
      </c>
      <c r="L557" s="19">
        <v>46786</v>
      </c>
      <c r="M557" s="32">
        <v>46419</v>
      </c>
      <c r="N557" s="19">
        <f t="shared" si="115"/>
        <v>46606</v>
      </c>
      <c r="O557" s="20" t="s">
        <v>30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34.5" customHeight="1" x14ac:dyDescent="0.25">
      <c r="A558" s="78">
        <v>67</v>
      </c>
      <c r="B558" s="79">
        <v>13658</v>
      </c>
      <c r="C558" s="16">
        <v>2020</v>
      </c>
      <c r="D558" s="18" t="s">
        <v>1238</v>
      </c>
      <c r="E558" s="17" t="s">
        <v>1239</v>
      </c>
      <c r="F558" s="16" t="s">
        <v>104</v>
      </c>
      <c r="G558" s="16" t="s">
        <v>107</v>
      </c>
      <c r="H558" s="16" t="s">
        <v>1133</v>
      </c>
      <c r="I558" s="16" t="s">
        <v>1134</v>
      </c>
      <c r="J558" s="16" t="s">
        <v>83</v>
      </c>
      <c r="K558" s="19" t="s">
        <v>262</v>
      </c>
      <c r="L558" s="19">
        <v>46032</v>
      </c>
      <c r="M558" s="19">
        <v>46204</v>
      </c>
      <c r="N558" s="19">
        <f t="shared" si="115"/>
        <v>45852</v>
      </c>
      <c r="O558" s="20" t="str">
        <f t="shared" ref="O558:O559" ca="1" si="116">IF(L558&gt;TODAY(),"Válida",IF(ISBLANK(L558),"Andamento",IF(L558&lt;TODAY(),"Vencida",IF(L558-TODAY()&lt;90,"URGENTE",IF(L558-TODAY()&lt;150,"RENOVAÇÃO",)))))</f>
        <v>Vencida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34.5" customHeight="1" x14ac:dyDescent="0.25">
      <c r="A559" s="78">
        <v>67</v>
      </c>
      <c r="B559" s="79" t="s">
        <v>1831</v>
      </c>
      <c r="C559" s="8">
        <v>2025</v>
      </c>
      <c r="D559" s="9" t="s">
        <v>1240</v>
      </c>
      <c r="E559" s="15" t="s">
        <v>1832</v>
      </c>
      <c r="F559" s="8" t="s">
        <v>104</v>
      </c>
      <c r="G559" s="8" t="s">
        <v>107</v>
      </c>
      <c r="H559" s="8" t="s">
        <v>1136</v>
      </c>
      <c r="I559" s="8" t="s">
        <v>1134</v>
      </c>
      <c r="J559" s="9" t="s">
        <v>1135</v>
      </c>
      <c r="K559" s="10" t="s">
        <v>262</v>
      </c>
      <c r="L559" s="10">
        <v>49749</v>
      </c>
      <c r="M559" s="10">
        <v>46461</v>
      </c>
      <c r="N559" s="10">
        <f t="shared" si="115"/>
        <v>49569</v>
      </c>
      <c r="O559" s="11" t="str">
        <f t="shared" ca="1" si="116"/>
        <v>Válida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34.5" customHeight="1" x14ac:dyDescent="0.25">
      <c r="A560" s="78">
        <v>67</v>
      </c>
      <c r="B560" s="81">
        <v>41468</v>
      </c>
      <c r="C560" s="29">
        <v>2021</v>
      </c>
      <c r="D560" s="29" t="s">
        <v>1241</v>
      </c>
      <c r="E560" s="29" t="s">
        <v>185</v>
      </c>
      <c r="F560" s="29" t="s">
        <v>189</v>
      </c>
      <c r="G560" s="29" t="s">
        <v>48</v>
      </c>
      <c r="H560" s="16" t="s">
        <v>1133</v>
      </c>
      <c r="I560" s="29" t="s">
        <v>1134</v>
      </c>
      <c r="J560" s="29"/>
      <c r="K560" s="37" t="s">
        <v>262</v>
      </c>
      <c r="L560" s="82">
        <v>46427</v>
      </c>
      <c r="M560" s="19">
        <v>46235</v>
      </c>
      <c r="N560" s="19">
        <f t="shared" si="115"/>
        <v>46247</v>
      </c>
      <c r="O560" s="20" t="s">
        <v>479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34.5" customHeight="1" x14ac:dyDescent="0.25">
      <c r="A561" s="78">
        <v>67</v>
      </c>
      <c r="B561" s="79">
        <v>5393</v>
      </c>
      <c r="C561" s="16">
        <v>2021</v>
      </c>
      <c r="D561" s="16" t="s">
        <v>1242</v>
      </c>
      <c r="E561" s="16" t="s">
        <v>185</v>
      </c>
      <c r="F561" s="16" t="s">
        <v>276</v>
      </c>
      <c r="G561" s="16" t="s">
        <v>277</v>
      </c>
      <c r="H561" s="16" t="s">
        <v>1136</v>
      </c>
      <c r="I561" s="16" t="s">
        <v>1134</v>
      </c>
      <c r="J561" s="16" t="s">
        <v>1170</v>
      </c>
      <c r="K561" s="19" t="s">
        <v>262</v>
      </c>
      <c r="L561" s="19">
        <v>46145</v>
      </c>
      <c r="M561" s="19">
        <v>46145</v>
      </c>
      <c r="N561" s="19">
        <f t="shared" si="115"/>
        <v>45965</v>
      </c>
      <c r="O561" s="20" t="str">
        <f t="shared" ref="O561:O573" ca="1" si="117">IF(L561&gt;TODAY(),"Válida",IF(ISBLANK(L561),"Andamento",IF(L561&lt;TODAY(),"Vencida",IF(L561-TODAY()&lt;90,"URGENTE",IF(L561-TODAY()&lt;150,"RENOVAÇÃO",)))))</f>
        <v>Válida</v>
      </c>
      <c r="P561" s="5"/>
      <c r="Q561" s="5"/>
      <c r="R561" s="5"/>
      <c r="S561" s="63" t="s">
        <v>760</v>
      </c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34.5" customHeight="1" x14ac:dyDescent="0.25">
      <c r="A562" s="78">
        <v>67</v>
      </c>
      <c r="B562" s="79">
        <v>21120040053</v>
      </c>
      <c r="C562" s="23">
        <v>2021</v>
      </c>
      <c r="D562" s="24" t="s">
        <v>190</v>
      </c>
      <c r="E562" s="24" t="s">
        <v>185</v>
      </c>
      <c r="F562" s="24" t="s">
        <v>191</v>
      </c>
      <c r="G562" s="24" t="s">
        <v>48</v>
      </c>
      <c r="H562" s="23" t="s">
        <v>1133</v>
      </c>
      <c r="I562" s="24" t="s">
        <v>1134</v>
      </c>
      <c r="J562" s="24" t="s">
        <v>1135</v>
      </c>
      <c r="K562" s="25" t="s">
        <v>433</v>
      </c>
      <c r="L562" s="25">
        <v>45783</v>
      </c>
      <c r="M562" s="25">
        <v>46059</v>
      </c>
      <c r="N562" s="25">
        <v>45694</v>
      </c>
      <c r="O562" s="26" t="str">
        <f t="shared" ca="1" si="117"/>
        <v>Vencida</v>
      </c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34.5" customHeight="1" x14ac:dyDescent="0.25">
      <c r="A563" s="78">
        <v>67</v>
      </c>
      <c r="B563" s="81">
        <v>21110024574</v>
      </c>
      <c r="C563" s="29">
        <v>2021</v>
      </c>
      <c r="D563" s="29" t="s">
        <v>190</v>
      </c>
      <c r="E563" s="29" t="s">
        <v>185</v>
      </c>
      <c r="F563" s="29" t="s">
        <v>191</v>
      </c>
      <c r="G563" s="29" t="s">
        <v>48</v>
      </c>
      <c r="H563" s="16" t="s">
        <v>1133</v>
      </c>
      <c r="I563" s="29" t="s">
        <v>1134</v>
      </c>
      <c r="J563" s="29" t="s">
        <v>1135</v>
      </c>
      <c r="K563" s="19" t="s">
        <v>699</v>
      </c>
      <c r="L563" s="31">
        <v>46365</v>
      </c>
      <c r="M563" s="19">
        <v>46277</v>
      </c>
      <c r="N563" s="19">
        <v>46277</v>
      </c>
      <c r="O563" s="20" t="str">
        <f t="shared" ca="1" si="117"/>
        <v>Válida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34.5" customHeight="1" x14ac:dyDescent="0.25">
      <c r="A564" s="78">
        <v>67</v>
      </c>
      <c r="B564" s="81" t="s">
        <v>1809</v>
      </c>
      <c r="C564" s="29">
        <v>2020</v>
      </c>
      <c r="D564" s="29" t="s">
        <v>192</v>
      </c>
      <c r="E564" s="29" t="s">
        <v>185</v>
      </c>
      <c r="F564" s="29" t="s">
        <v>193</v>
      </c>
      <c r="G564" s="29" t="s">
        <v>48</v>
      </c>
      <c r="H564" s="16" t="s">
        <v>1133</v>
      </c>
      <c r="I564" s="29" t="s">
        <v>1134</v>
      </c>
      <c r="J564" s="29" t="s">
        <v>1135</v>
      </c>
      <c r="K564" s="31" t="s">
        <v>262</v>
      </c>
      <c r="L564" s="31" t="s">
        <v>1243</v>
      </c>
      <c r="M564" s="19">
        <v>46266</v>
      </c>
      <c r="N564" s="19">
        <f t="shared" ref="N564:N573" si="118">L564-180</f>
        <v>45931</v>
      </c>
      <c r="O564" s="20" t="str">
        <f t="shared" ca="1" si="117"/>
        <v>Válida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34.5" customHeight="1" x14ac:dyDescent="0.25">
      <c r="A565" s="78">
        <v>67</v>
      </c>
      <c r="B565" s="79">
        <v>30789</v>
      </c>
      <c r="C565" s="34">
        <v>2018</v>
      </c>
      <c r="D565" s="16" t="s">
        <v>1244</v>
      </c>
      <c r="E565" s="16" t="s">
        <v>294</v>
      </c>
      <c r="F565" s="16" t="s">
        <v>1245</v>
      </c>
      <c r="G565" s="16" t="s">
        <v>1246</v>
      </c>
      <c r="H565" s="16" t="s">
        <v>1136</v>
      </c>
      <c r="I565" s="16" t="s">
        <v>553</v>
      </c>
      <c r="J565" s="16" t="s">
        <v>356</v>
      </c>
      <c r="K565" s="19" t="s">
        <v>262</v>
      </c>
      <c r="L565" s="19">
        <v>45553</v>
      </c>
      <c r="M565" s="19">
        <v>46266</v>
      </c>
      <c r="N565" s="19">
        <f t="shared" si="118"/>
        <v>45373</v>
      </c>
      <c r="O565" s="20" t="str">
        <f t="shared" ca="1" si="117"/>
        <v>Vencida</v>
      </c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34.5" customHeight="1" x14ac:dyDescent="0.25">
      <c r="A566" s="78">
        <v>68</v>
      </c>
      <c r="B566" s="79">
        <v>29414</v>
      </c>
      <c r="C566" s="16">
        <v>2021</v>
      </c>
      <c r="D566" s="16" t="s">
        <v>182</v>
      </c>
      <c r="E566" s="16" t="s">
        <v>27</v>
      </c>
      <c r="F566" s="16" t="s">
        <v>183</v>
      </c>
      <c r="G566" s="16" t="s">
        <v>48</v>
      </c>
      <c r="H566" s="16" t="s">
        <v>1133</v>
      </c>
      <c r="I566" s="16" t="s">
        <v>1247</v>
      </c>
      <c r="J566" s="16" t="s">
        <v>83</v>
      </c>
      <c r="K566" s="19" t="s">
        <v>262</v>
      </c>
      <c r="L566" s="19" t="s">
        <v>1248</v>
      </c>
      <c r="M566" s="19">
        <v>46082</v>
      </c>
      <c r="N566" s="19">
        <f t="shared" si="118"/>
        <v>46111</v>
      </c>
      <c r="O566" s="20" t="str">
        <f t="shared" ca="1" si="117"/>
        <v>Válida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34.5" customHeight="1" x14ac:dyDescent="0.25">
      <c r="A567" s="78">
        <v>68</v>
      </c>
      <c r="B567" s="79">
        <v>10616</v>
      </c>
      <c r="C567" s="16">
        <v>2022</v>
      </c>
      <c r="D567" s="16" t="s">
        <v>182</v>
      </c>
      <c r="E567" s="16" t="s">
        <v>27</v>
      </c>
      <c r="F567" s="16" t="s">
        <v>183</v>
      </c>
      <c r="G567" s="16" t="s">
        <v>48</v>
      </c>
      <c r="H567" s="16" t="s">
        <v>1133</v>
      </c>
      <c r="I567" s="16" t="s">
        <v>1247</v>
      </c>
      <c r="J567" s="16"/>
      <c r="K567" s="19" t="s">
        <v>262</v>
      </c>
      <c r="L567" s="19">
        <v>46614</v>
      </c>
      <c r="M567" s="19">
        <v>46419</v>
      </c>
      <c r="N567" s="19">
        <f t="shared" si="118"/>
        <v>46434</v>
      </c>
      <c r="O567" s="20" t="str">
        <f t="shared" ca="1" si="117"/>
        <v>Válida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34.5" customHeight="1" x14ac:dyDescent="0.25">
      <c r="A568" s="78">
        <v>68</v>
      </c>
      <c r="B568" s="81" t="s">
        <v>1809</v>
      </c>
      <c r="C568" s="16">
        <v>2025</v>
      </c>
      <c r="D568" s="16" t="s">
        <v>80</v>
      </c>
      <c r="E568" s="16" t="s">
        <v>27</v>
      </c>
      <c r="F568" s="16" t="s">
        <v>81</v>
      </c>
      <c r="G568" s="16" t="s">
        <v>82</v>
      </c>
      <c r="H568" s="16" t="s">
        <v>1133</v>
      </c>
      <c r="I568" s="16" t="s">
        <v>1134</v>
      </c>
      <c r="J568" s="16" t="s">
        <v>83</v>
      </c>
      <c r="K568" s="19" t="s">
        <v>262</v>
      </c>
      <c r="L568" s="19">
        <v>49740</v>
      </c>
      <c r="M568" s="19">
        <v>46452</v>
      </c>
      <c r="N568" s="19">
        <f t="shared" si="118"/>
        <v>49560</v>
      </c>
      <c r="O568" s="20" t="str">
        <f t="shared" ca="1" si="117"/>
        <v>Válida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34.5" customHeight="1" x14ac:dyDescent="0.25">
      <c r="A569" s="78">
        <v>68</v>
      </c>
      <c r="B569" s="79">
        <v>2748</v>
      </c>
      <c r="C569" s="16">
        <v>2020</v>
      </c>
      <c r="D569" s="16" t="s">
        <v>85</v>
      </c>
      <c r="E569" s="16" t="s">
        <v>27</v>
      </c>
      <c r="F569" s="16" t="s">
        <v>81</v>
      </c>
      <c r="G569" s="16" t="s">
        <v>1249</v>
      </c>
      <c r="H569" s="16" t="s">
        <v>1136</v>
      </c>
      <c r="I569" s="16" t="s">
        <v>1134</v>
      </c>
      <c r="J569" s="16" t="s">
        <v>83</v>
      </c>
      <c r="K569" s="16" t="s">
        <v>262</v>
      </c>
      <c r="L569" s="19">
        <v>46438</v>
      </c>
      <c r="M569" s="19">
        <v>46235</v>
      </c>
      <c r="N569" s="19">
        <f t="shared" si="118"/>
        <v>46258</v>
      </c>
      <c r="O569" s="20" t="str">
        <f t="shared" ca="1" si="117"/>
        <v>Válida</v>
      </c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34.5" customHeight="1" x14ac:dyDescent="0.25">
      <c r="A570" s="78">
        <v>68</v>
      </c>
      <c r="B570" s="79">
        <v>5184</v>
      </c>
      <c r="C570" s="16">
        <v>2021</v>
      </c>
      <c r="D570" s="16" t="s">
        <v>239</v>
      </c>
      <c r="E570" s="16" t="s">
        <v>27</v>
      </c>
      <c r="F570" s="16" t="s">
        <v>212</v>
      </c>
      <c r="G570" s="16" t="s">
        <v>48</v>
      </c>
      <c r="H570" s="16" t="s">
        <v>1133</v>
      </c>
      <c r="I570" s="16" t="s">
        <v>1134</v>
      </c>
      <c r="J570" s="16" t="s">
        <v>1144</v>
      </c>
      <c r="K570" s="31" t="s">
        <v>262</v>
      </c>
      <c r="L570" s="19">
        <v>46119</v>
      </c>
      <c r="M570" s="19">
        <v>46296</v>
      </c>
      <c r="N570" s="19">
        <f t="shared" si="118"/>
        <v>45939</v>
      </c>
      <c r="O570" s="20" t="str">
        <f t="shared" ca="1" si="117"/>
        <v>Válida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34.5" customHeight="1" x14ac:dyDescent="0.25">
      <c r="A571" s="78">
        <v>68</v>
      </c>
      <c r="B571" s="81">
        <v>36190</v>
      </c>
      <c r="C571" s="9">
        <v>2022</v>
      </c>
      <c r="D571" s="9" t="s">
        <v>200</v>
      </c>
      <c r="E571" s="9" t="s">
        <v>185</v>
      </c>
      <c r="F571" s="9" t="s">
        <v>198</v>
      </c>
      <c r="G571" s="9" t="s">
        <v>48</v>
      </c>
      <c r="H571" s="8" t="s">
        <v>1136</v>
      </c>
      <c r="I571" s="9" t="s">
        <v>1134</v>
      </c>
      <c r="J571" s="9" t="s">
        <v>201</v>
      </c>
      <c r="K571" s="8" t="s">
        <v>262</v>
      </c>
      <c r="L571" s="10">
        <v>46784</v>
      </c>
      <c r="M571" s="10">
        <v>46600</v>
      </c>
      <c r="N571" s="10">
        <f t="shared" si="118"/>
        <v>46604</v>
      </c>
      <c r="O571" s="11" t="str">
        <f t="shared" ca="1" si="117"/>
        <v>Válida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34.5" customHeight="1" x14ac:dyDescent="0.25">
      <c r="A572" s="78">
        <v>68</v>
      </c>
      <c r="B572" s="79">
        <v>38290</v>
      </c>
      <c r="C572" s="29">
        <v>2020</v>
      </c>
      <c r="D572" s="29" t="s">
        <v>304</v>
      </c>
      <c r="E572" s="29" t="s">
        <v>88</v>
      </c>
      <c r="F572" s="29" t="s">
        <v>302</v>
      </c>
      <c r="G572" s="29" t="s">
        <v>1250</v>
      </c>
      <c r="H572" s="16" t="s">
        <v>1133</v>
      </c>
      <c r="I572" s="29" t="s">
        <v>1134</v>
      </c>
      <c r="J572" s="29" t="s">
        <v>1135</v>
      </c>
      <c r="K572" s="31" t="s">
        <v>262</v>
      </c>
      <c r="L572" s="31">
        <v>46050</v>
      </c>
      <c r="M572" s="19">
        <v>46235</v>
      </c>
      <c r="N572" s="19">
        <f t="shared" si="118"/>
        <v>45870</v>
      </c>
      <c r="O572" s="20" t="str">
        <f t="shared" ca="1" si="117"/>
        <v>Vencida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34.5" customHeight="1" x14ac:dyDescent="0.25">
      <c r="A573" s="78">
        <v>68</v>
      </c>
      <c r="B573" s="79">
        <v>5192</v>
      </c>
      <c r="C573" s="29">
        <v>2021</v>
      </c>
      <c r="D573" s="29" t="s">
        <v>304</v>
      </c>
      <c r="E573" s="29" t="s">
        <v>88</v>
      </c>
      <c r="F573" s="29" t="s">
        <v>302</v>
      </c>
      <c r="G573" s="29" t="s">
        <v>1250</v>
      </c>
      <c r="H573" s="16" t="s">
        <v>1136</v>
      </c>
      <c r="I573" s="29" t="s">
        <v>1134</v>
      </c>
      <c r="J573" s="29" t="s">
        <v>1135</v>
      </c>
      <c r="K573" s="31" t="s">
        <v>262</v>
      </c>
      <c r="L573" s="31">
        <v>46090</v>
      </c>
      <c r="M573" s="19">
        <v>46266</v>
      </c>
      <c r="N573" s="19">
        <f t="shared" si="118"/>
        <v>45910</v>
      </c>
      <c r="O573" s="20" t="str">
        <f t="shared" ca="1" si="117"/>
        <v>Vencida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34.5" customHeight="1" x14ac:dyDescent="0.25">
      <c r="A574" s="78">
        <v>68</v>
      </c>
      <c r="B574" s="79">
        <v>40518</v>
      </c>
      <c r="C574" s="9">
        <v>2023</v>
      </c>
      <c r="D574" s="9" t="s">
        <v>304</v>
      </c>
      <c r="E574" s="9" t="s">
        <v>88</v>
      </c>
      <c r="F574" s="9" t="s">
        <v>302</v>
      </c>
      <c r="G574" s="9" t="s">
        <v>1250</v>
      </c>
      <c r="H574" s="8"/>
      <c r="I574" s="9" t="s">
        <v>1134</v>
      </c>
      <c r="J574" s="9"/>
      <c r="K574" s="13" t="s">
        <v>262</v>
      </c>
      <c r="L574" s="13">
        <v>47049</v>
      </c>
      <c r="M574" s="10">
        <v>46296</v>
      </c>
      <c r="N574" s="10">
        <v>46866</v>
      </c>
      <c r="O574" s="11" t="s">
        <v>30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34.5" customHeight="1" x14ac:dyDescent="0.25">
      <c r="A575" s="78">
        <v>68</v>
      </c>
      <c r="B575" s="79">
        <v>30085</v>
      </c>
      <c r="C575" s="9">
        <v>2021</v>
      </c>
      <c r="D575" s="9" t="s">
        <v>1251</v>
      </c>
      <c r="E575" s="9" t="s">
        <v>185</v>
      </c>
      <c r="F575" s="9" t="s">
        <v>355</v>
      </c>
      <c r="G575" s="9" t="s">
        <v>217</v>
      </c>
      <c r="H575" s="16" t="s">
        <v>1133</v>
      </c>
      <c r="I575" s="9" t="s">
        <v>1138</v>
      </c>
      <c r="J575" s="9" t="s">
        <v>1135</v>
      </c>
      <c r="K575" s="13" t="s">
        <v>262</v>
      </c>
      <c r="L575" s="13">
        <v>46357</v>
      </c>
      <c r="M575" s="19">
        <v>46174</v>
      </c>
      <c r="N575" s="19">
        <f t="shared" ref="N575:N582" si="119">L575-180</f>
        <v>46177</v>
      </c>
      <c r="O575" s="20" t="str">
        <f t="shared" ref="O575:O581" ca="1" si="120">IF(L575&gt;TODAY(),"Válida",IF(ISBLANK(L575),"Andamento",IF(L575&lt;TODAY(),"Vencida",IF(L575-TODAY()&lt;90,"URGENTE",IF(L575-TODAY()&lt;150,"RENOVAÇÃO",)))))</f>
        <v>Válida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34.5" customHeight="1" x14ac:dyDescent="0.25">
      <c r="A576" s="78">
        <v>68</v>
      </c>
      <c r="B576" s="79">
        <v>10138</v>
      </c>
      <c r="C576" s="18">
        <v>2022</v>
      </c>
      <c r="D576" s="18" t="s">
        <v>1252</v>
      </c>
      <c r="E576" s="18" t="s">
        <v>185</v>
      </c>
      <c r="F576" s="18" t="s">
        <v>355</v>
      </c>
      <c r="G576" s="18" t="s">
        <v>217</v>
      </c>
      <c r="H576" s="16"/>
      <c r="I576" s="18" t="s">
        <v>1138</v>
      </c>
      <c r="J576" s="18" t="s">
        <v>1135</v>
      </c>
      <c r="K576" s="32" t="s">
        <v>262</v>
      </c>
      <c r="L576" s="32">
        <v>46648</v>
      </c>
      <c r="M576" s="19">
        <v>46447</v>
      </c>
      <c r="N576" s="19">
        <f t="shared" si="119"/>
        <v>46468</v>
      </c>
      <c r="O576" s="20" t="str">
        <f t="shared" ca="1" si="120"/>
        <v>Válida</v>
      </c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34.5" customHeight="1" x14ac:dyDescent="0.25">
      <c r="A577" s="78">
        <v>68</v>
      </c>
      <c r="B577" s="79">
        <v>32953</v>
      </c>
      <c r="C577" s="34">
        <v>2020</v>
      </c>
      <c r="D577" s="16" t="s">
        <v>311</v>
      </c>
      <c r="E577" s="16" t="s">
        <v>27</v>
      </c>
      <c r="F577" s="16" t="s">
        <v>312</v>
      </c>
      <c r="G577" s="16" t="s">
        <v>313</v>
      </c>
      <c r="H577" s="16" t="s">
        <v>1136</v>
      </c>
      <c r="I577" s="16" t="s">
        <v>1138</v>
      </c>
      <c r="J577" s="16" t="s">
        <v>282</v>
      </c>
      <c r="K577" s="19" t="s">
        <v>262</v>
      </c>
      <c r="L577" s="19">
        <v>46105</v>
      </c>
      <c r="M577" s="19">
        <v>46266</v>
      </c>
      <c r="N577" s="19">
        <f t="shared" si="119"/>
        <v>45925</v>
      </c>
      <c r="O577" s="20" t="str">
        <f t="shared" ca="1" si="120"/>
        <v>Vencida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34.5" customHeight="1" x14ac:dyDescent="0.25">
      <c r="A578" s="78">
        <v>68</v>
      </c>
      <c r="B578" s="80">
        <v>31987</v>
      </c>
      <c r="C578" s="17">
        <v>2021</v>
      </c>
      <c r="D578" s="17" t="s">
        <v>184</v>
      </c>
      <c r="E578" s="17" t="s">
        <v>185</v>
      </c>
      <c r="F578" s="17" t="s">
        <v>1253</v>
      </c>
      <c r="G578" s="17" t="s">
        <v>1254</v>
      </c>
      <c r="H578" s="16" t="s">
        <v>1133</v>
      </c>
      <c r="I578" s="17" t="s">
        <v>1134</v>
      </c>
      <c r="J578" s="17" t="s">
        <v>83</v>
      </c>
      <c r="K578" s="16" t="s">
        <v>262</v>
      </c>
      <c r="L578" s="36">
        <v>46316</v>
      </c>
      <c r="M578" s="19">
        <v>46113</v>
      </c>
      <c r="N578" s="19">
        <f t="shared" si="119"/>
        <v>46136</v>
      </c>
      <c r="O578" s="20" t="str">
        <f t="shared" ca="1" si="120"/>
        <v>Válida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34.5" customHeight="1" x14ac:dyDescent="0.25">
      <c r="A579" s="78">
        <v>68</v>
      </c>
      <c r="B579" s="81">
        <v>14583</v>
      </c>
      <c r="C579" s="9">
        <v>2024</v>
      </c>
      <c r="D579" s="9" t="s">
        <v>357</v>
      </c>
      <c r="E579" s="9" t="s">
        <v>1255</v>
      </c>
      <c r="F579" s="9" t="s">
        <v>358</v>
      </c>
      <c r="G579" s="9" t="s">
        <v>48</v>
      </c>
      <c r="H579" s="8" t="s">
        <v>1136</v>
      </c>
      <c r="I579" s="9" t="s">
        <v>1134</v>
      </c>
      <c r="J579" s="9" t="s">
        <v>83</v>
      </c>
      <c r="K579" s="13" t="s">
        <v>262</v>
      </c>
      <c r="L579" s="13">
        <v>49373</v>
      </c>
      <c r="M579" s="10">
        <v>46088</v>
      </c>
      <c r="N579" s="10">
        <f t="shared" si="119"/>
        <v>49193</v>
      </c>
      <c r="O579" s="11" t="str">
        <f t="shared" ca="1" si="120"/>
        <v>Válida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34.5" customHeight="1" x14ac:dyDescent="0.25">
      <c r="A580" s="78">
        <v>68</v>
      </c>
      <c r="B580" s="79">
        <v>21166</v>
      </c>
      <c r="C580" s="16">
        <v>2021</v>
      </c>
      <c r="D580" s="16" t="s">
        <v>278</v>
      </c>
      <c r="E580" s="16" t="s">
        <v>267</v>
      </c>
      <c r="F580" s="16" t="s">
        <v>280</v>
      </c>
      <c r="G580" s="16" t="s">
        <v>1256</v>
      </c>
      <c r="H580" s="16" t="s">
        <v>1133</v>
      </c>
      <c r="I580" s="16" t="s">
        <v>1134</v>
      </c>
      <c r="J580" s="16" t="s">
        <v>1144</v>
      </c>
      <c r="K580" s="16" t="s">
        <v>262</v>
      </c>
      <c r="L580" s="19">
        <v>46272</v>
      </c>
      <c r="M580" s="19">
        <v>46092</v>
      </c>
      <c r="N580" s="19">
        <f t="shared" si="119"/>
        <v>46092</v>
      </c>
      <c r="O580" s="20" t="str">
        <f t="shared" ca="1" si="120"/>
        <v>Válida</v>
      </c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34.5" customHeight="1" x14ac:dyDescent="0.25">
      <c r="A581" s="78">
        <v>68</v>
      </c>
      <c r="B581" s="79" t="s">
        <v>1257</v>
      </c>
      <c r="C581" s="16">
        <v>2025</v>
      </c>
      <c r="D581" s="16" t="s">
        <v>323</v>
      </c>
      <c r="E581" s="16" t="s">
        <v>267</v>
      </c>
      <c r="F581" s="16" t="s">
        <v>324</v>
      </c>
      <c r="G581" s="16" t="s">
        <v>217</v>
      </c>
      <c r="H581" s="94" t="s">
        <v>1136</v>
      </c>
      <c r="I581" s="16" t="s">
        <v>553</v>
      </c>
      <c r="J581" s="94" t="s">
        <v>1258</v>
      </c>
      <c r="K581" s="16" t="s">
        <v>262</v>
      </c>
      <c r="L581" s="95">
        <v>49526</v>
      </c>
      <c r="M581" s="19">
        <v>46239</v>
      </c>
      <c r="N581" s="19">
        <f t="shared" si="119"/>
        <v>49346</v>
      </c>
      <c r="O581" s="20" t="str">
        <f t="shared" ca="1" si="120"/>
        <v>Válida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34.5" customHeight="1" x14ac:dyDescent="0.25">
      <c r="A582" s="78">
        <v>69</v>
      </c>
      <c r="B582" s="88">
        <v>1968</v>
      </c>
      <c r="C582" s="8">
        <v>2023</v>
      </c>
      <c r="D582" s="8" t="s">
        <v>1095</v>
      </c>
      <c r="E582" s="8" t="s">
        <v>1259</v>
      </c>
      <c r="F582" s="8" t="s">
        <v>1260</v>
      </c>
      <c r="G582" s="8" t="s">
        <v>217</v>
      </c>
      <c r="H582" s="47"/>
      <c r="I582" s="8" t="s">
        <v>1159</v>
      </c>
      <c r="J582" s="47"/>
      <c r="K582" s="8" t="s">
        <v>262</v>
      </c>
      <c r="L582" s="48">
        <v>47067</v>
      </c>
      <c r="M582" s="10">
        <v>46327</v>
      </c>
      <c r="N582" s="10">
        <f t="shared" si="119"/>
        <v>46887</v>
      </c>
      <c r="O582" s="11" t="s">
        <v>385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34.5" customHeight="1" x14ac:dyDescent="0.25">
      <c r="A583" s="78">
        <v>70</v>
      </c>
      <c r="B583" s="79" t="s">
        <v>1261</v>
      </c>
      <c r="C583" s="16">
        <v>2025</v>
      </c>
      <c r="D583" s="16" t="s">
        <v>809</v>
      </c>
      <c r="E583" s="16" t="s">
        <v>810</v>
      </c>
      <c r="F583" s="16" t="s">
        <v>16</v>
      </c>
      <c r="G583" s="16" t="s">
        <v>123</v>
      </c>
      <c r="H583" s="94"/>
      <c r="I583" s="16" t="s">
        <v>1159</v>
      </c>
      <c r="J583" s="94"/>
      <c r="K583" s="16" t="s">
        <v>262</v>
      </c>
      <c r="L583" s="95">
        <v>49345</v>
      </c>
      <c r="M583" s="19">
        <v>46147</v>
      </c>
      <c r="N583" s="19">
        <v>49161</v>
      </c>
      <c r="O583" s="11" t="s">
        <v>385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34.5" customHeight="1" x14ac:dyDescent="0.25">
      <c r="A584" s="78">
        <v>71</v>
      </c>
      <c r="B584" s="88">
        <v>1797</v>
      </c>
      <c r="C584" s="16">
        <v>2023</v>
      </c>
      <c r="D584" s="16" t="s">
        <v>1262</v>
      </c>
      <c r="E584" s="16" t="s">
        <v>27</v>
      </c>
      <c r="F584" s="16" t="s">
        <v>16</v>
      </c>
      <c r="G584" s="16" t="s">
        <v>1263</v>
      </c>
      <c r="H584" s="16" t="s">
        <v>1263</v>
      </c>
      <c r="I584" s="16" t="s">
        <v>1159</v>
      </c>
      <c r="J584" s="94"/>
      <c r="K584" s="16" t="s">
        <v>262</v>
      </c>
      <c r="L584" s="95">
        <v>47036</v>
      </c>
      <c r="M584" s="19">
        <v>46296</v>
      </c>
      <c r="N584" s="19">
        <f t="shared" ref="N584:N586" si="121">L584-180</f>
        <v>46856</v>
      </c>
      <c r="O584" s="20" t="s">
        <v>30</v>
      </c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34.5" customHeight="1" x14ac:dyDescent="0.25">
      <c r="A585" s="78">
        <v>71</v>
      </c>
      <c r="B585" s="88">
        <v>1890</v>
      </c>
      <c r="C585" s="16">
        <v>2023</v>
      </c>
      <c r="D585" s="16" t="s">
        <v>456</v>
      </c>
      <c r="E585" s="16" t="s">
        <v>27</v>
      </c>
      <c r="F585" s="16" t="s">
        <v>16</v>
      </c>
      <c r="G585" s="16" t="s">
        <v>17</v>
      </c>
      <c r="H585" s="94"/>
      <c r="I585" s="16" t="s">
        <v>1159</v>
      </c>
      <c r="J585" s="94"/>
      <c r="K585" s="16" t="s">
        <v>262</v>
      </c>
      <c r="L585" s="95">
        <v>47056</v>
      </c>
      <c r="M585" s="19">
        <v>46296</v>
      </c>
      <c r="N585" s="19">
        <f t="shared" si="121"/>
        <v>46876</v>
      </c>
      <c r="O585" s="20" t="s">
        <v>30</v>
      </c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34.5" customHeight="1" x14ac:dyDescent="0.25">
      <c r="A586" s="78">
        <v>71</v>
      </c>
      <c r="B586" s="96">
        <v>50012</v>
      </c>
      <c r="C586" s="8">
        <v>2023</v>
      </c>
      <c r="D586" s="8" t="s">
        <v>214</v>
      </c>
      <c r="E586" s="8" t="s">
        <v>185</v>
      </c>
      <c r="F586" s="8" t="s">
        <v>1260</v>
      </c>
      <c r="G586" s="8" t="s">
        <v>217</v>
      </c>
      <c r="H586" s="47"/>
      <c r="I586" s="8" t="s">
        <v>1134</v>
      </c>
      <c r="J586" s="47"/>
      <c r="K586" s="8" t="s">
        <v>262</v>
      </c>
      <c r="L586" s="48">
        <v>49203</v>
      </c>
      <c r="M586" s="10">
        <v>46266</v>
      </c>
      <c r="N586" s="10">
        <f t="shared" si="121"/>
        <v>49023</v>
      </c>
      <c r="O586" s="11" t="s">
        <v>30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34.5" customHeight="1" x14ac:dyDescent="0.25">
      <c r="A587" s="78">
        <v>72</v>
      </c>
      <c r="B587" s="96">
        <v>51696</v>
      </c>
      <c r="C587" s="8">
        <v>2023</v>
      </c>
      <c r="D587" s="8" t="s">
        <v>1264</v>
      </c>
      <c r="E587" s="8" t="s">
        <v>1265</v>
      </c>
      <c r="F587" s="8" t="s">
        <v>1191</v>
      </c>
      <c r="G587" s="8" t="s">
        <v>432</v>
      </c>
      <c r="H587" s="47"/>
      <c r="I587" s="8" t="s">
        <v>1134</v>
      </c>
      <c r="J587" s="47"/>
      <c r="K587" s="8" t="s">
        <v>262</v>
      </c>
      <c r="L587" s="48">
        <v>49194</v>
      </c>
      <c r="M587" s="10">
        <v>46272</v>
      </c>
      <c r="N587" s="10">
        <v>49010</v>
      </c>
      <c r="O587" s="11" t="s">
        <v>30</v>
      </c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34.5" customHeight="1" x14ac:dyDescent="0.25">
      <c r="A588" s="78">
        <v>72</v>
      </c>
      <c r="B588" s="96">
        <v>48402</v>
      </c>
      <c r="C588" s="8">
        <v>2019</v>
      </c>
      <c r="D588" s="8" t="s">
        <v>1264</v>
      </c>
      <c r="E588" s="8" t="s">
        <v>1266</v>
      </c>
      <c r="F588" s="8" t="s">
        <v>1191</v>
      </c>
      <c r="G588" s="8" t="s">
        <v>432</v>
      </c>
      <c r="H588" s="47"/>
      <c r="I588" s="8" t="s">
        <v>1138</v>
      </c>
      <c r="J588" s="47"/>
      <c r="K588" s="8" t="s">
        <v>262</v>
      </c>
      <c r="L588" s="48">
        <v>45896</v>
      </c>
      <c r="M588" s="10">
        <v>45715</v>
      </c>
      <c r="N588" s="10">
        <v>45715</v>
      </c>
      <c r="O588" s="11" t="s">
        <v>30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34.5" customHeight="1" x14ac:dyDescent="0.25">
      <c r="A589" s="78">
        <v>73</v>
      </c>
      <c r="B589" s="96" t="s">
        <v>1267</v>
      </c>
      <c r="C589" s="8">
        <v>2024</v>
      </c>
      <c r="D589" s="8" t="s">
        <v>683</v>
      </c>
      <c r="E589" s="8" t="s">
        <v>684</v>
      </c>
      <c r="F589" s="8" t="s">
        <v>1268</v>
      </c>
      <c r="G589" s="8" t="s">
        <v>432</v>
      </c>
      <c r="H589" s="47"/>
      <c r="I589" s="8" t="s">
        <v>1159</v>
      </c>
      <c r="J589" s="47"/>
      <c r="K589" s="8" t="s">
        <v>262</v>
      </c>
      <c r="L589" s="48">
        <v>47129</v>
      </c>
      <c r="M589" s="10">
        <v>45849</v>
      </c>
      <c r="N589" s="10">
        <v>46945</v>
      </c>
      <c r="O589" s="11" t="s">
        <v>30</v>
      </c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34.5" customHeight="1" x14ac:dyDescent="0.25">
      <c r="A590" s="78">
        <v>74</v>
      </c>
      <c r="B590" s="96" t="s">
        <v>1269</v>
      </c>
      <c r="C590" s="8">
        <v>2024</v>
      </c>
      <c r="D590" s="8" t="s">
        <v>403</v>
      </c>
      <c r="E590" s="16" t="s">
        <v>27</v>
      </c>
      <c r="F590" s="8" t="s">
        <v>404</v>
      </c>
      <c r="G590" s="8" t="s">
        <v>217</v>
      </c>
      <c r="H590" s="47"/>
      <c r="I590" s="8" t="s">
        <v>1159</v>
      </c>
      <c r="J590" s="47"/>
      <c r="K590" s="8" t="s">
        <v>262</v>
      </c>
      <c r="L590" s="48">
        <v>47141</v>
      </c>
      <c r="M590" s="10">
        <v>46054</v>
      </c>
      <c r="N590" s="10">
        <v>46957</v>
      </c>
      <c r="O590" s="11" t="s">
        <v>30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34.5" customHeight="1" x14ac:dyDescent="0.25">
      <c r="A591" s="78">
        <v>75</v>
      </c>
      <c r="B591" s="96" t="s">
        <v>1270</v>
      </c>
      <c r="C591" s="8">
        <v>2024</v>
      </c>
      <c r="D591" s="8" t="s">
        <v>1087</v>
      </c>
      <c r="E591" s="16" t="s">
        <v>1088</v>
      </c>
      <c r="F591" s="8" t="s">
        <v>16</v>
      </c>
      <c r="G591" s="8" t="s">
        <v>17</v>
      </c>
      <c r="H591" s="47"/>
      <c r="I591" s="8" t="s">
        <v>1233</v>
      </c>
      <c r="J591" s="47"/>
      <c r="K591" s="8" t="s">
        <v>262</v>
      </c>
      <c r="L591" s="48">
        <v>46041</v>
      </c>
      <c r="M591" s="10">
        <v>45827</v>
      </c>
      <c r="N591" s="10">
        <v>45827</v>
      </c>
      <c r="O591" s="11" t="s">
        <v>30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34.5" customHeight="1" x14ac:dyDescent="0.25">
      <c r="A592" s="78">
        <v>76</v>
      </c>
      <c r="B592" s="96">
        <v>4366</v>
      </c>
      <c r="C592" s="8">
        <v>2024</v>
      </c>
      <c r="D592" s="8" t="s">
        <v>1271</v>
      </c>
      <c r="E592" s="16" t="s">
        <v>1056</v>
      </c>
      <c r="F592" s="8" t="s">
        <v>276</v>
      </c>
      <c r="G592" s="8" t="s">
        <v>48</v>
      </c>
      <c r="H592" s="47"/>
      <c r="I592" s="8" t="s">
        <v>1159</v>
      </c>
      <c r="J592" s="47"/>
      <c r="K592" s="8" t="s">
        <v>262</v>
      </c>
      <c r="L592" s="48">
        <v>49274</v>
      </c>
      <c r="M592" s="10">
        <v>46327</v>
      </c>
      <c r="N592" s="10">
        <v>49090</v>
      </c>
      <c r="O592" s="11" t="s">
        <v>30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34.5" customHeight="1" x14ac:dyDescent="0.25">
      <c r="A593" s="78">
        <v>77</v>
      </c>
      <c r="B593" s="96" t="s">
        <v>1272</v>
      </c>
      <c r="C593" s="8">
        <v>2025</v>
      </c>
      <c r="D593" s="8" t="s">
        <v>1032</v>
      </c>
      <c r="E593" s="16" t="s">
        <v>1273</v>
      </c>
      <c r="F593" s="8" t="s">
        <v>16</v>
      </c>
      <c r="G593" s="8" t="s">
        <v>659</v>
      </c>
      <c r="H593" s="47"/>
      <c r="I593" s="8" t="s">
        <v>1159</v>
      </c>
      <c r="J593" s="8" t="s">
        <v>1159</v>
      </c>
      <c r="K593" s="8" t="s">
        <v>262</v>
      </c>
      <c r="L593" s="48">
        <v>49321</v>
      </c>
      <c r="M593" s="10">
        <v>46399</v>
      </c>
      <c r="N593" s="10">
        <v>49441</v>
      </c>
      <c r="O593" s="11" t="s">
        <v>30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34.5" customHeight="1" x14ac:dyDescent="0.25">
      <c r="A594" s="78">
        <v>78</v>
      </c>
      <c r="B594" s="96" t="s">
        <v>1274</v>
      </c>
      <c r="C594" s="8">
        <v>2025</v>
      </c>
      <c r="D594" s="8" t="s">
        <v>1275</v>
      </c>
      <c r="E594" s="16" t="s">
        <v>1276</v>
      </c>
      <c r="F594" s="8" t="s">
        <v>16</v>
      </c>
      <c r="G594" s="8" t="s">
        <v>63</v>
      </c>
      <c r="H594" s="47"/>
      <c r="I594" s="8" t="s">
        <v>1159</v>
      </c>
      <c r="J594" s="47"/>
      <c r="K594" s="8" t="s">
        <v>262</v>
      </c>
      <c r="L594" s="48">
        <v>49505</v>
      </c>
      <c r="M594" s="10">
        <v>46218</v>
      </c>
      <c r="N594" s="10">
        <v>49324</v>
      </c>
      <c r="O594" s="11" t="s">
        <v>30</v>
      </c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34.5" customHeight="1" x14ac:dyDescent="0.25">
      <c r="A595" s="78">
        <v>79</v>
      </c>
      <c r="B595" s="96" t="s">
        <v>1277</v>
      </c>
      <c r="C595" s="8">
        <v>2025</v>
      </c>
      <c r="D595" s="8" t="s">
        <v>491</v>
      </c>
      <c r="E595" s="16" t="s">
        <v>1278</v>
      </c>
      <c r="F595" s="8" t="s">
        <v>16</v>
      </c>
      <c r="G595" s="8" t="s">
        <v>383</v>
      </c>
      <c r="H595" s="47"/>
      <c r="I595" s="8" t="s">
        <v>1159</v>
      </c>
      <c r="J595" s="47"/>
      <c r="K595" s="8" t="s">
        <v>262</v>
      </c>
      <c r="L595" s="48">
        <v>49534</v>
      </c>
      <c r="M595" s="10">
        <v>46339</v>
      </c>
      <c r="N595" s="10">
        <v>49353</v>
      </c>
      <c r="O595" s="11" t="s">
        <v>30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34.5" customHeight="1" x14ac:dyDescent="0.25">
      <c r="A596" s="78">
        <v>80</v>
      </c>
      <c r="B596" s="96" t="s">
        <v>1279</v>
      </c>
      <c r="C596" s="8">
        <v>2025</v>
      </c>
      <c r="D596" s="8" t="s">
        <v>1280</v>
      </c>
      <c r="E596" s="16" t="s">
        <v>1281</v>
      </c>
      <c r="F596" s="8" t="s">
        <v>16</v>
      </c>
      <c r="G596" s="8" t="s">
        <v>142</v>
      </c>
      <c r="H596" s="47"/>
      <c r="I596" s="8" t="s">
        <v>1159</v>
      </c>
      <c r="J596" s="47"/>
      <c r="K596" s="8" t="s">
        <v>262</v>
      </c>
      <c r="L596" s="48">
        <v>49539</v>
      </c>
      <c r="M596" s="10">
        <v>46252</v>
      </c>
      <c r="N596" s="10">
        <v>49358</v>
      </c>
      <c r="O596" s="11" t="s">
        <v>30</v>
      </c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34.5" customHeight="1" x14ac:dyDescent="0.25">
      <c r="A597" s="78">
        <v>81</v>
      </c>
      <c r="B597" s="96">
        <v>5812</v>
      </c>
      <c r="C597" s="8">
        <v>2025</v>
      </c>
      <c r="D597" s="8" t="s">
        <v>1099</v>
      </c>
      <c r="E597" s="16" t="s">
        <v>1282</v>
      </c>
      <c r="F597" s="8" t="s">
        <v>16</v>
      </c>
      <c r="G597" s="8" t="s">
        <v>1101</v>
      </c>
      <c r="H597" s="47"/>
      <c r="I597" s="8" t="s">
        <v>1159</v>
      </c>
      <c r="J597" s="47"/>
      <c r="K597" s="8" t="s">
        <v>262</v>
      </c>
      <c r="L597" s="48">
        <v>49553</v>
      </c>
      <c r="M597" s="10">
        <v>46266</v>
      </c>
      <c r="N597" s="10">
        <v>49369</v>
      </c>
      <c r="O597" s="11" t="s">
        <v>30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34.5" customHeight="1" x14ac:dyDescent="0.25">
      <c r="A598" s="78">
        <v>82</v>
      </c>
      <c r="B598" s="96" t="s">
        <v>1283</v>
      </c>
      <c r="C598" s="8">
        <v>2025</v>
      </c>
      <c r="D598" s="8" t="s">
        <v>1284</v>
      </c>
      <c r="E598" s="16" t="s">
        <v>1285</v>
      </c>
      <c r="F598" s="8" t="s">
        <v>16</v>
      </c>
      <c r="G598" s="8" t="s">
        <v>728</v>
      </c>
      <c r="H598" s="47"/>
      <c r="I598" s="8" t="s">
        <v>1159</v>
      </c>
      <c r="J598" s="47"/>
      <c r="K598" s="8" t="s">
        <v>262</v>
      </c>
      <c r="L598" s="48">
        <v>49575</v>
      </c>
      <c r="M598" s="10">
        <v>46288</v>
      </c>
      <c r="N598" s="10">
        <v>49391</v>
      </c>
      <c r="O598" s="11" t="s">
        <v>30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34.5" customHeight="1" x14ac:dyDescent="0.25">
      <c r="A599" s="78">
        <v>83</v>
      </c>
      <c r="B599" s="96">
        <v>2.9204938271604939</v>
      </c>
      <c r="C599" s="8">
        <v>2025</v>
      </c>
      <c r="D599" s="8" t="s">
        <v>1284</v>
      </c>
      <c r="E599" s="16" t="s">
        <v>1286</v>
      </c>
      <c r="F599" s="8" t="s">
        <v>16</v>
      </c>
      <c r="G599" s="8" t="s">
        <v>728</v>
      </c>
      <c r="H599" s="47"/>
      <c r="I599" s="8" t="s">
        <v>1233</v>
      </c>
      <c r="J599" s="47"/>
      <c r="K599" s="8" t="s">
        <v>262</v>
      </c>
      <c r="L599" s="48">
        <v>47039</v>
      </c>
      <c r="M599" s="10">
        <v>46856</v>
      </c>
      <c r="N599" s="10">
        <v>46856</v>
      </c>
      <c r="O599" s="11" t="s">
        <v>30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34.5" customHeight="1" x14ac:dyDescent="0.25">
      <c r="A600" s="1" t="s">
        <v>0</v>
      </c>
      <c r="B600" s="2" t="s">
        <v>1</v>
      </c>
      <c r="C600" s="2" t="s">
        <v>2</v>
      </c>
      <c r="D600" s="2" t="s">
        <v>3</v>
      </c>
      <c r="E600" s="2" t="s">
        <v>4</v>
      </c>
      <c r="F600" s="2" t="s">
        <v>5</v>
      </c>
      <c r="G600" s="2" t="s">
        <v>6</v>
      </c>
      <c r="H600" s="2" t="s">
        <v>7</v>
      </c>
      <c r="I600" s="2" t="s">
        <v>8</v>
      </c>
      <c r="J600" s="2" t="s">
        <v>9</v>
      </c>
      <c r="K600" s="2" t="s">
        <v>10</v>
      </c>
      <c r="L600" s="3" t="s">
        <v>11</v>
      </c>
      <c r="M600" s="3" t="s">
        <v>1819</v>
      </c>
      <c r="N600" s="4" t="s">
        <v>12</v>
      </c>
      <c r="O600" s="2" t="s">
        <v>13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34.5" customHeight="1" x14ac:dyDescent="0.25">
      <c r="A601" s="97">
        <v>1</v>
      </c>
      <c r="B601" s="98">
        <v>850627</v>
      </c>
      <c r="C601" s="8">
        <v>2019</v>
      </c>
      <c r="D601" s="8" t="s">
        <v>842</v>
      </c>
      <c r="E601" s="15" t="s">
        <v>1287</v>
      </c>
      <c r="F601" s="8" t="s">
        <v>16</v>
      </c>
      <c r="G601" s="8" t="s">
        <v>544</v>
      </c>
      <c r="H601" s="8" t="s">
        <v>1288</v>
      </c>
      <c r="I601" s="8" t="s">
        <v>1292</v>
      </c>
      <c r="J601" s="8" t="s">
        <v>692</v>
      </c>
      <c r="K601" s="10" t="s">
        <v>1289</v>
      </c>
      <c r="L601" s="10">
        <v>45953</v>
      </c>
      <c r="M601" s="10">
        <v>46451</v>
      </c>
      <c r="N601" s="10">
        <v>45923</v>
      </c>
      <c r="O601" s="11" t="s">
        <v>246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34.5" customHeight="1" x14ac:dyDescent="0.25">
      <c r="A602" s="97">
        <v>2</v>
      </c>
      <c r="B602" s="98">
        <v>850073</v>
      </c>
      <c r="C602" s="23">
        <v>2025</v>
      </c>
      <c r="D602" s="23" t="s">
        <v>848</v>
      </c>
      <c r="E602" s="23" t="s">
        <v>1290</v>
      </c>
      <c r="F602" s="23" t="s">
        <v>850</v>
      </c>
      <c r="G602" s="23" t="s">
        <v>67</v>
      </c>
      <c r="H602" s="23" t="s">
        <v>1291</v>
      </c>
      <c r="I602" s="23" t="s">
        <v>1292</v>
      </c>
      <c r="J602" s="23" t="s">
        <v>854</v>
      </c>
      <c r="K602" s="40" t="s">
        <v>1289</v>
      </c>
      <c r="L602" s="25"/>
      <c r="M602" s="25"/>
      <c r="N602" s="25"/>
      <c r="O602" s="26" t="s">
        <v>560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34.5" customHeight="1" x14ac:dyDescent="0.25">
      <c r="A603" s="97">
        <v>3</v>
      </c>
      <c r="B603" s="98">
        <v>850036</v>
      </c>
      <c r="C603" s="8">
        <v>2022</v>
      </c>
      <c r="D603" s="8" t="s">
        <v>483</v>
      </c>
      <c r="E603" s="8" t="s">
        <v>484</v>
      </c>
      <c r="F603" s="8" t="s">
        <v>16</v>
      </c>
      <c r="G603" s="8" t="s">
        <v>485</v>
      </c>
      <c r="H603" s="8" t="s">
        <v>1293</v>
      </c>
      <c r="I603" s="8" t="s">
        <v>1292</v>
      </c>
      <c r="J603" s="8" t="s">
        <v>859</v>
      </c>
      <c r="K603" s="13" t="s">
        <v>1289</v>
      </c>
      <c r="L603" s="10">
        <v>46605</v>
      </c>
      <c r="M603" s="10">
        <v>46447</v>
      </c>
      <c r="N603" s="10">
        <v>46574</v>
      </c>
      <c r="O603" s="11" t="s">
        <v>30</v>
      </c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34.5" customHeight="1" x14ac:dyDescent="0.25">
      <c r="A604" s="97">
        <v>4</v>
      </c>
      <c r="B604" s="98">
        <v>850659</v>
      </c>
      <c r="C604" s="192">
        <v>2022</v>
      </c>
      <c r="D604" s="192" t="s">
        <v>860</v>
      </c>
      <c r="E604" s="193" t="s">
        <v>1294</v>
      </c>
      <c r="F604" s="192" t="s">
        <v>16</v>
      </c>
      <c r="G604" s="192" t="s">
        <v>17</v>
      </c>
      <c r="H604" s="192" t="s">
        <v>1288</v>
      </c>
      <c r="I604" s="192" t="s">
        <v>1292</v>
      </c>
      <c r="J604" s="192" t="s">
        <v>1295</v>
      </c>
      <c r="K604" s="194" t="s">
        <v>1289</v>
      </c>
      <c r="L604" s="195">
        <v>45967</v>
      </c>
      <c r="M604" s="194">
        <v>46447</v>
      </c>
      <c r="N604" s="195">
        <v>45936</v>
      </c>
      <c r="O604" s="196" t="s">
        <v>30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34.5" customHeight="1" x14ac:dyDescent="0.25">
      <c r="A605" s="97">
        <v>5</v>
      </c>
      <c r="B605" s="98">
        <v>850631</v>
      </c>
      <c r="C605" s="8">
        <v>2012</v>
      </c>
      <c r="D605" s="8" t="s">
        <v>1296</v>
      </c>
      <c r="E605" s="8" t="s">
        <v>1297</v>
      </c>
      <c r="F605" s="8" t="s">
        <v>1298</v>
      </c>
      <c r="G605" s="8" t="s">
        <v>1001</v>
      </c>
      <c r="H605" s="8" t="s">
        <v>1291</v>
      </c>
      <c r="I605" s="8" t="s">
        <v>1292</v>
      </c>
      <c r="J605" s="8" t="s">
        <v>948</v>
      </c>
      <c r="K605" s="13" t="s">
        <v>1289</v>
      </c>
      <c r="L605" s="10" t="s">
        <v>90</v>
      </c>
      <c r="M605" s="10">
        <v>46447</v>
      </c>
      <c r="N605" s="10" t="s">
        <v>90</v>
      </c>
      <c r="O605" s="11" t="s">
        <v>30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34.5" customHeight="1" x14ac:dyDescent="0.25">
      <c r="A606" s="97">
        <v>6</v>
      </c>
      <c r="B606" s="98">
        <v>850177</v>
      </c>
      <c r="C606" s="8">
        <v>2018</v>
      </c>
      <c r="D606" s="8" t="s">
        <v>1009</v>
      </c>
      <c r="E606" s="9" t="s">
        <v>1299</v>
      </c>
      <c r="F606" s="8" t="s">
        <v>877</v>
      </c>
      <c r="G606" s="8" t="s">
        <v>217</v>
      </c>
      <c r="H606" s="8" t="s">
        <v>1291</v>
      </c>
      <c r="I606" s="8" t="s">
        <v>1292</v>
      </c>
      <c r="J606" s="8" t="s">
        <v>692</v>
      </c>
      <c r="K606" s="13" t="s">
        <v>1289</v>
      </c>
      <c r="L606" s="10">
        <v>56101</v>
      </c>
      <c r="M606" s="10">
        <v>46447</v>
      </c>
      <c r="N606" s="10">
        <v>56040</v>
      </c>
      <c r="O606" s="11" t="s">
        <v>30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34.5" customHeight="1" x14ac:dyDescent="0.25">
      <c r="A607" s="97">
        <v>7</v>
      </c>
      <c r="B607" s="99">
        <v>850222</v>
      </c>
      <c r="C607" s="192">
        <v>2016</v>
      </c>
      <c r="D607" s="197" t="s">
        <v>871</v>
      </c>
      <c r="E607" s="192" t="s">
        <v>872</v>
      </c>
      <c r="F607" s="192" t="s">
        <v>16</v>
      </c>
      <c r="G607" s="192" t="s">
        <v>17</v>
      </c>
      <c r="H607" s="192" t="s">
        <v>1291</v>
      </c>
      <c r="I607" s="192" t="s">
        <v>1292</v>
      </c>
      <c r="J607" s="192" t="s">
        <v>873</v>
      </c>
      <c r="K607" s="198" t="s">
        <v>1289</v>
      </c>
      <c r="L607" s="194">
        <v>45978</v>
      </c>
      <c r="M607" s="194">
        <v>46447</v>
      </c>
      <c r="N607" s="194">
        <f>L607-30</f>
        <v>45948</v>
      </c>
      <c r="O607" s="196" t="s">
        <v>30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34.5" customHeight="1" x14ac:dyDescent="0.25">
      <c r="A608" s="97">
        <v>8</v>
      </c>
      <c r="B608" s="98">
        <v>851077</v>
      </c>
      <c r="C608" s="8">
        <v>2021</v>
      </c>
      <c r="D608" s="8" t="s">
        <v>882</v>
      </c>
      <c r="E608" s="8" t="s">
        <v>1300</v>
      </c>
      <c r="F608" s="8" t="s">
        <v>16</v>
      </c>
      <c r="G608" s="8" t="s">
        <v>17</v>
      </c>
      <c r="H608" s="8" t="s">
        <v>1291</v>
      </c>
      <c r="I608" s="8" t="s">
        <v>1292</v>
      </c>
      <c r="J608" s="8" t="s">
        <v>859</v>
      </c>
      <c r="K608" s="8" t="s">
        <v>1289</v>
      </c>
      <c r="L608" s="10">
        <v>45839</v>
      </c>
      <c r="M608" s="10">
        <v>46447</v>
      </c>
      <c r="N608" s="10">
        <f>L608-30</f>
        <v>45809</v>
      </c>
      <c r="O608" s="11" t="s">
        <v>246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34.5" customHeight="1" x14ac:dyDescent="0.25">
      <c r="A609" s="97">
        <v>9</v>
      </c>
      <c r="B609" s="98">
        <v>850387</v>
      </c>
      <c r="C609" s="187">
        <v>2025</v>
      </c>
      <c r="D609" s="187" t="s">
        <v>882</v>
      </c>
      <c r="E609" s="187" t="s">
        <v>1301</v>
      </c>
      <c r="F609" s="187" t="s">
        <v>16</v>
      </c>
      <c r="G609" s="187" t="s">
        <v>17</v>
      </c>
      <c r="H609" s="187"/>
      <c r="I609" s="187" t="s">
        <v>1292</v>
      </c>
      <c r="J609" s="187"/>
      <c r="K609" s="187" t="s">
        <v>1289</v>
      </c>
      <c r="L609" s="188">
        <v>46544</v>
      </c>
      <c r="M609" s="10">
        <v>46447</v>
      </c>
      <c r="N609" s="188">
        <v>46513</v>
      </c>
      <c r="O609" s="11" t="s">
        <v>30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34.5" customHeight="1" x14ac:dyDescent="0.25">
      <c r="A610" s="97">
        <v>10</v>
      </c>
      <c r="B610" s="98">
        <v>851134</v>
      </c>
      <c r="C610" s="16">
        <v>2021</v>
      </c>
      <c r="D610" s="16" t="s">
        <v>894</v>
      </c>
      <c r="E610" s="16" t="s">
        <v>1302</v>
      </c>
      <c r="F610" s="16" t="s">
        <v>16</v>
      </c>
      <c r="G610" s="16" t="s">
        <v>432</v>
      </c>
      <c r="H610" s="16" t="s">
        <v>1288</v>
      </c>
      <c r="I610" s="8" t="s">
        <v>1292</v>
      </c>
      <c r="J610" s="16" t="s">
        <v>896</v>
      </c>
      <c r="K610" s="19" t="s">
        <v>1289</v>
      </c>
      <c r="L610" s="19">
        <v>46577</v>
      </c>
      <c r="M610" s="10">
        <v>46447</v>
      </c>
      <c r="N610" s="19">
        <v>46516</v>
      </c>
      <c r="O610" s="11" t="s">
        <v>30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34.5" customHeight="1" x14ac:dyDescent="0.25">
      <c r="A611" s="97">
        <v>11</v>
      </c>
      <c r="B611" s="98">
        <v>850567</v>
      </c>
      <c r="C611" s="8">
        <v>2019</v>
      </c>
      <c r="D611" s="8" t="s">
        <v>1303</v>
      </c>
      <c r="E611" s="8" t="s">
        <v>910</v>
      </c>
      <c r="F611" s="8" t="s">
        <v>16</v>
      </c>
      <c r="G611" s="8" t="s">
        <v>412</v>
      </c>
      <c r="H611" s="8" t="s">
        <v>1291</v>
      </c>
      <c r="I611" s="8" t="s">
        <v>1292</v>
      </c>
      <c r="J611" s="8" t="s">
        <v>854</v>
      </c>
      <c r="K611" s="13" t="s">
        <v>1289</v>
      </c>
      <c r="L611" s="10">
        <v>46260</v>
      </c>
      <c r="M611" s="10">
        <v>46447</v>
      </c>
      <c r="N611" s="10">
        <f t="shared" ref="N611:N612" si="122">L611-30</f>
        <v>46230</v>
      </c>
      <c r="O611" s="11" t="s">
        <v>30</v>
      </c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34.5" customHeight="1" x14ac:dyDescent="0.25">
      <c r="A612" s="97">
        <v>12</v>
      </c>
      <c r="B612" s="98">
        <v>851154</v>
      </c>
      <c r="C612" s="8">
        <v>2018</v>
      </c>
      <c r="D612" s="8" t="s">
        <v>1304</v>
      </c>
      <c r="E612" s="8" t="s">
        <v>1305</v>
      </c>
      <c r="F612" s="8" t="s">
        <v>877</v>
      </c>
      <c r="G612" s="8" t="s">
        <v>67</v>
      </c>
      <c r="H612" s="8" t="s">
        <v>417</v>
      </c>
      <c r="I612" s="8" t="s">
        <v>1292</v>
      </c>
      <c r="J612" s="8" t="s">
        <v>844</v>
      </c>
      <c r="K612" s="13" t="s">
        <v>1289</v>
      </c>
      <c r="L612" s="10">
        <v>45280</v>
      </c>
      <c r="M612" s="10">
        <v>46447</v>
      </c>
      <c r="N612" s="10">
        <f t="shared" si="122"/>
        <v>45250</v>
      </c>
      <c r="O612" s="11" t="s">
        <v>246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34.5" customHeight="1" x14ac:dyDescent="0.25">
      <c r="A613" s="97">
        <v>13</v>
      </c>
      <c r="B613" s="100">
        <v>850300</v>
      </c>
      <c r="C613" s="8">
        <v>2017</v>
      </c>
      <c r="D613" s="8" t="s">
        <v>897</v>
      </c>
      <c r="E613" s="8" t="s">
        <v>1306</v>
      </c>
      <c r="F613" s="8" t="s">
        <v>899</v>
      </c>
      <c r="G613" s="8" t="s">
        <v>432</v>
      </c>
      <c r="H613" s="8" t="s">
        <v>417</v>
      </c>
      <c r="I613" s="8" t="s">
        <v>1292</v>
      </c>
      <c r="J613" s="8" t="s">
        <v>900</v>
      </c>
      <c r="K613" s="13" t="s">
        <v>1289</v>
      </c>
      <c r="L613" s="10" t="s">
        <v>90</v>
      </c>
      <c r="M613" s="10">
        <v>46447</v>
      </c>
      <c r="N613" s="10" t="s">
        <v>90</v>
      </c>
      <c r="O613" s="11" t="str">
        <f ca="1">IF(L613&gt;TODAY(),"Válida",IF(ISBLANK(L613),"Andamento",IF(L613&lt;TODAY(),"Vencida",IF(L613-TODAY()&lt;90,"URGENTE",IF(L613-TODAY()&lt;150,"RENOVAÇÃO",)))))</f>
        <v>Válida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34.5" customHeight="1" x14ac:dyDescent="0.25">
      <c r="A614" s="97">
        <v>14</v>
      </c>
      <c r="B614" s="98">
        <v>850228</v>
      </c>
      <c r="C614" s="8">
        <v>2024</v>
      </c>
      <c r="D614" s="8" t="s">
        <v>946</v>
      </c>
      <c r="E614" s="8" t="s">
        <v>947</v>
      </c>
      <c r="F614" s="8" t="s">
        <v>16</v>
      </c>
      <c r="G614" s="8" t="s">
        <v>544</v>
      </c>
      <c r="H614" s="8"/>
      <c r="I614" s="8" t="s">
        <v>1292</v>
      </c>
      <c r="J614" s="8"/>
      <c r="K614" s="13" t="s">
        <v>1289</v>
      </c>
      <c r="L614" s="10">
        <v>46092</v>
      </c>
      <c r="M614" s="10">
        <v>46447</v>
      </c>
      <c r="N614" s="10">
        <v>46064</v>
      </c>
      <c r="O614" s="11" t="s">
        <v>30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34.5" customHeight="1" x14ac:dyDescent="0.25">
      <c r="A615" s="97">
        <v>15</v>
      </c>
      <c r="B615" s="98">
        <v>884190</v>
      </c>
      <c r="C615" s="8">
        <v>2022</v>
      </c>
      <c r="D615" s="8" t="s">
        <v>1307</v>
      </c>
      <c r="E615" s="8" t="s">
        <v>1308</v>
      </c>
      <c r="F615" s="8" t="s">
        <v>1309</v>
      </c>
      <c r="G615" s="8" t="s">
        <v>1310</v>
      </c>
      <c r="H615" s="8"/>
      <c r="I615" s="8" t="s">
        <v>1292</v>
      </c>
      <c r="J615" s="8"/>
      <c r="K615" s="13" t="s">
        <v>1289</v>
      </c>
      <c r="L615" s="10" t="s">
        <v>1311</v>
      </c>
      <c r="M615" s="10" t="s">
        <v>1311</v>
      </c>
      <c r="N615" s="10" t="s">
        <v>1311</v>
      </c>
      <c r="O615" s="11" t="s">
        <v>246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34.5" customHeight="1" x14ac:dyDescent="0.25">
      <c r="A616" s="97">
        <v>16</v>
      </c>
      <c r="B616" s="98">
        <v>851923</v>
      </c>
      <c r="C616" s="8">
        <v>2013</v>
      </c>
      <c r="D616" s="8" t="s">
        <v>596</v>
      </c>
      <c r="E616" s="8" t="s">
        <v>597</v>
      </c>
      <c r="F616" s="8" t="s">
        <v>445</v>
      </c>
      <c r="G616" s="8" t="s">
        <v>67</v>
      </c>
      <c r="H616" s="8"/>
      <c r="I616" s="8" t="s">
        <v>1292</v>
      </c>
      <c r="J616" s="8"/>
      <c r="K616" s="13" t="s">
        <v>1289</v>
      </c>
      <c r="L616" s="10">
        <v>48490</v>
      </c>
      <c r="M616" s="10">
        <v>46447</v>
      </c>
      <c r="N616" s="10">
        <v>48460</v>
      </c>
      <c r="O616" s="11" t="s">
        <v>30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34.5" customHeight="1" x14ac:dyDescent="0.25">
      <c r="A617" s="97">
        <v>17</v>
      </c>
      <c r="B617" s="98">
        <v>850574</v>
      </c>
      <c r="C617" s="8">
        <v>2022</v>
      </c>
      <c r="D617" s="8" t="s">
        <v>1037</v>
      </c>
      <c r="E617" s="8" t="s">
        <v>1038</v>
      </c>
      <c r="F617" s="8" t="s">
        <v>16</v>
      </c>
      <c r="G617" s="8" t="s">
        <v>63</v>
      </c>
      <c r="H617" s="8"/>
      <c r="I617" s="8" t="s">
        <v>1292</v>
      </c>
      <c r="J617" s="8" t="s">
        <v>1289</v>
      </c>
      <c r="K617" s="13" t="s">
        <v>1289</v>
      </c>
      <c r="L617" s="10">
        <v>45508</v>
      </c>
      <c r="M617" s="10">
        <v>46447</v>
      </c>
      <c r="N617" s="10">
        <f>L617-30</f>
        <v>45478</v>
      </c>
      <c r="O617" s="11" t="s">
        <v>246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34.5" customHeight="1" x14ac:dyDescent="0.25">
      <c r="A618" s="97">
        <v>18</v>
      </c>
      <c r="B618" s="98">
        <v>850470</v>
      </c>
      <c r="C618" s="8">
        <v>2024</v>
      </c>
      <c r="D618" s="8" t="s">
        <v>1102</v>
      </c>
      <c r="E618" s="8" t="s">
        <v>1312</v>
      </c>
      <c r="F618" s="8" t="s">
        <v>16</v>
      </c>
      <c r="G618" s="8" t="s">
        <v>1101</v>
      </c>
      <c r="H618" s="8"/>
      <c r="I618" s="8" t="s">
        <v>1292</v>
      </c>
      <c r="J618" s="8"/>
      <c r="K618" s="13" t="s">
        <v>1289</v>
      </c>
      <c r="L618" s="10">
        <v>46228</v>
      </c>
      <c r="M618" s="10">
        <v>46447</v>
      </c>
      <c r="N618" s="10">
        <v>46167</v>
      </c>
      <c r="O618" s="11" t="s">
        <v>30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34.5" customHeight="1" x14ac:dyDescent="0.25">
      <c r="A619" s="97">
        <v>19</v>
      </c>
      <c r="B619" s="98">
        <v>850422</v>
      </c>
      <c r="C619" s="8">
        <v>2023</v>
      </c>
      <c r="D619" s="8" t="s">
        <v>879</v>
      </c>
      <c r="E619" s="8" t="s">
        <v>880</v>
      </c>
      <c r="F619" s="8" t="s">
        <v>16</v>
      </c>
      <c r="G619" s="8" t="s">
        <v>432</v>
      </c>
      <c r="H619" s="8"/>
      <c r="I619" s="8" t="s">
        <v>1292</v>
      </c>
      <c r="J619" s="8"/>
      <c r="K619" s="13" t="s">
        <v>1289</v>
      </c>
      <c r="L619" s="10">
        <v>46152</v>
      </c>
      <c r="M619" s="10">
        <v>46447</v>
      </c>
      <c r="N619" s="10">
        <v>46122</v>
      </c>
      <c r="O619" s="11" t="s">
        <v>30</v>
      </c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34.5" customHeight="1" x14ac:dyDescent="0.25">
      <c r="A620" s="1" t="s">
        <v>0</v>
      </c>
      <c r="B620" s="2" t="s">
        <v>1</v>
      </c>
      <c r="C620" s="2" t="s">
        <v>2</v>
      </c>
      <c r="D620" s="2" t="s">
        <v>3</v>
      </c>
      <c r="E620" s="2" t="s">
        <v>4</v>
      </c>
      <c r="F620" s="2" t="s">
        <v>5</v>
      </c>
      <c r="G620" s="2" t="s">
        <v>6</v>
      </c>
      <c r="H620" s="2" t="s">
        <v>7</v>
      </c>
      <c r="I620" s="2" t="s">
        <v>8</v>
      </c>
      <c r="J620" s="2" t="s">
        <v>9</v>
      </c>
      <c r="K620" s="2" t="s">
        <v>10</v>
      </c>
      <c r="L620" s="3" t="s">
        <v>11</v>
      </c>
      <c r="M620" s="3" t="s">
        <v>1820</v>
      </c>
      <c r="N620" s="4" t="s">
        <v>12</v>
      </c>
      <c r="O620" s="101" t="s">
        <v>13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34.5" customHeight="1" x14ac:dyDescent="0.25">
      <c r="A621" s="102">
        <v>1</v>
      </c>
      <c r="B621" s="103">
        <v>11718</v>
      </c>
      <c r="C621" s="8">
        <v>2023</v>
      </c>
      <c r="D621" s="8" t="s">
        <v>1076</v>
      </c>
      <c r="E621" s="8" t="s">
        <v>1077</v>
      </c>
      <c r="F621" s="8" t="s">
        <v>482</v>
      </c>
      <c r="G621" s="8" t="s">
        <v>48</v>
      </c>
      <c r="H621" s="8" t="s">
        <v>1313</v>
      </c>
      <c r="I621" s="8" t="s">
        <v>1314</v>
      </c>
      <c r="J621" s="8" t="s">
        <v>1315</v>
      </c>
      <c r="K621" s="8" t="s">
        <v>262</v>
      </c>
      <c r="L621" s="10">
        <v>46144</v>
      </c>
      <c r="M621" s="10"/>
      <c r="N621" s="10">
        <v>46114</v>
      </c>
      <c r="O621" s="11" t="s">
        <v>30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34.5" customHeight="1" x14ac:dyDescent="0.25">
      <c r="A622" s="102">
        <v>1</v>
      </c>
      <c r="B622" s="103">
        <v>33811</v>
      </c>
      <c r="C622" s="8">
        <v>2024</v>
      </c>
      <c r="D622" s="8" t="s">
        <v>1316</v>
      </c>
      <c r="E622" s="8" t="s">
        <v>1317</v>
      </c>
      <c r="F622" s="8" t="s">
        <v>732</v>
      </c>
      <c r="G622" s="8" t="s">
        <v>432</v>
      </c>
      <c r="H622" s="8"/>
      <c r="I622" s="8" t="s">
        <v>1314</v>
      </c>
      <c r="J622" s="8"/>
      <c r="K622" s="8" t="s">
        <v>262</v>
      </c>
      <c r="L622" s="10">
        <v>46255</v>
      </c>
      <c r="M622" s="10"/>
      <c r="N622" s="10">
        <v>46224</v>
      </c>
      <c r="O622" s="11" t="s">
        <v>30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34.5" customHeight="1" x14ac:dyDescent="0.25">
      <c r="A623" s="102">
        <v>2</v>
      </c>
      <c r="B623" s="103">
        <v>37065</v>
      </c>
      <c r="C623" s="8">
        <v>2022</v>
      </c>
      <c r="D623" s="8" t="s">
        <v>848</v>
      </c>
      <c r="E623" s="8" t="s">
        <v>1318</v>
      </c>
      <c r="F623" s="8" t="s">
        <v>402</v>
      </c>
      <c r="G623" s="8" t="s">
        <v>67</v>
      </c>
      <c r="H623" s="8"/>
      <c r="I623" s="8" t="s">
        <v>1314</v>
      </c>
      <c r="J623" s="8" t="s">
        <v>1315</v>
      </c>
      <c r="K623" s="8" t="s">
        <v>262</v>
      </c>
      <c r="L623" s="10">
        <v>46446</v>
      </c>
      <c r="M623" s="10"/>
      <c r="N623" s="10">
        <v>46415</v>
      </c>
      <c r="O623" s="11" t="str">
        <f ca="1">IF(L623&gt;TODAY(),"Válida",IF(ISBLANK(L623),"Andamento",IF(L623&lt;TODAY(),"Vencida",IF(L623-TODAY()&lt;90,"URGENTE",IF(L623-TODAY()&lt;150,"RENOVAÇÃO",)))))</f>
        <v>Válida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34.5" customHeight="1" x14ac:dyDescent="0.25">
      <c r="A624" s="102">
        <v>3</v>
      </c>
      <c r="B624" s="103">
        <v>36648</v>
      </c>
      <c r="C624" s="8">
        <v>2021</v>
      </c>
      <c r="D624" s="9" t="s">
        <v>1207</v>
      </c>
      <c r="E624" s="9" t="s">
        <v>913</v>
      </c>
      <c r="F624" s="9" t="s">
        <v>198</v>
      </c>
      <c r="G624" s="9" t="s">
        <v>914</v>
      </c>
      <c r="H624" s="8" t="s">
        <v>1313</v>
      </c>
      <c r="I624" s="8" t="s">
        <v>1314</v>
      </c>
      <c r="J624" s="8" t="s">
        <v>915</v>
      </c>
      <c r="K624" s="8" t="s">
        <v>262</v>
      </c>
      <c r="L624" s="10">
        <v>45891</v>
      </c>
      <c r="M624" s="10"/>
      <c r="N624" s="10">
        <v>45860</v>
      </c>
      <c r="O624" s="11" t="s">
        <v>30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34.5" customHeight="1" x14ac:dyDescent="0.25">
      <c r="A625" s="102">
        <v>4</v>
      </c>
      <c r="B625" s="104">
        <v>33801</v>
      </c>
      <c r="C625" s="15">
        <v>2021</v>
      </c>
      <c r="D625" s="8" t="s">
        <v>1150</v>
      </c>
      <c r="E625" s="8" t="s">
        <v>1319</v>
      </c>
      <c r="F625" s="8" t="s">
        <v>402</v>
      </c>
      <c r="G625" s="8" t="s">
        <v>67</v>
      </c>
      <c r="H625" s="8" t="s">
        <v>1313</v>
      </c>
      <c r="I625" s="8" t="s">
        <v>1314</v>
      </c>
      <c r="J625" s="8" t="s">
        <v>1320</v>
      </c>
      <c r="K625" s="8" t="s">
        <v>262</v>
      </c>
      <c r="L625" s="14">
        <v>46515</v>
      </c>
      <c r="M625" s="10"/>
      <c r="N625" s="10">
        <v>46395</v>
      </c>
      <c r="O625" s="11" t="s">
        <v>30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34.5" customHeight="1" x14ac:dyDescent="0.25">
      <c r="A626" s="102">
        <v>5</v>
      </c>
      <c r="B626" s="104">
        <v>39853</v>
      </c>
      <c r="C626" s="15">
        <v>2021</v>
      </c>
      <c r="D626" s="8" t="s">
        <v>1192</v>
      </c>
      <c r="E626" s="8" t="s">
        <v>766</v>
      </c>
      <c r="F626" s="8" t="s">
        <v>358</v>
      </c>
      <c r="G626" s="8" t="s">
        <v>67</v>
      </c>
      <c r="H626" s="8" t="s">
        <v>1313</v>
      </c>
      <c r="I626" s="8" t="s">
        <v>1314</v>
      </c>
      <c r="J626" s="8"/>
      <c r="K626" s="8" t="s">
        <v>262</v>
      </c>
      <c r="L626" s="10">
        <v>45885</v>
      </c>
      <c r="M626" s="10"/>
      <c r="N626" s="10">
        <v>45854</v>
      </c>
      <c r="O626" s="11" t="s">
        <v>30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34.5" customHeight="1" x14ac:dyDescent="0.25">
      <c r="A627" s="102">
        <v>6</v>
      </c>
      <c r="B627" s="104">
        <v>39858</v>
      </c>
      <c r="C627" s="15">
        <v>2021</v>
      </c>
      <c r="D627" s="8" t="s">
        <v>866</v>
      </c>
      <c r="E627" s="8" t="s">
        <v>766</v>
      </c>
      <c r="F627" s="8" t="s">
        <v>16</v>
      </c>
      <c r="G627" s="8" t="s">
        <v>67</v>
      </c>
      <c r="H627" s="8" t="s">
        <v>1313</v>
      </c>
      <c r="I627" s="8" t="s">
        <v>1314</v>
      </c>
      <c r="J627" s="8"/>
      <c r="K627" s="8" t="s">
        <v>262</v>
      </c>
      <c r="L627" s="10">
        <v>46773</v>
      </c>
      <c r="M627" s="10"/>
      <c r="N627" s="10">
        <v>46742</v>
      </c>
      <c r="O627" s="11" t="str">
        <f t="shared" ref="O627:O628" ca="1" si="123">IF(L627&gt;TODAY(),"Válida",IF(ISBLANK(L627),"Andamento",IF(L627&lt;TODAY(),"Vencida",IF(L627-TODAY()&lt;90,"URGENTE",IF(L627-TODAY()&lt;150,"RENOVAÇÃO",)))))</f>
        <v>Válida</v>
      </c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34.5" customHeight="1" x14ac:dyDescent="0.25">
      <c r="A628" s="102">
        <v>7</v>
      </c>
      <c r="B628" s="104">
        <v>39865</v>
      </c>
      <c r="C628" s="15">
        <v>2021</v>
      </c>
      <c r="D628" s="8" t="s">
        <v>765</v>
      </c>
      <c r="E628" s="8" t="s">
        <v>766</v>
      </c>
      <c r="F628" s="8" t="s">
        <v>1298</v>
      </c>
      <c r="G628" s="8" t="s">
        <v>67</v>
      </c>
      <c r="H628" s="8"/>
      <c r="I628" s="8" t="s">
        <v>1314</v>
      </c>
      <c r="J628" s="8"/>
      <c r="K628" s="8" t="s">
        <v>262</v>
      </c>
      <c r="L628" s="10">
        <v>46556</v>
      </c>
      <c r="M628" s="10"/>
      <c r="N628" s="10">
        <v>46525</v>
      </c>
      <c r="O628" s="11" t="str">
        <f t="shared" ca="1" si="123"/>
        <v>Válida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34.5" customHeight="1" x14ac:dyDescent="0.25">
      <c r="A629" s="102">
        <v>8</v>
      </c>
      <c r="B629" s="104">
        <v>39873</v>
      </c>
      <c r="C629" s="15">
        <v>2021</v>
      </c>
      <c r="D629" s="15" t="s">
        <v>769</v>
      </c>
      <c r="E629" s="8" t="s">
        <v>1226</v>
      </c>
      <c r="F629" s="8" t="s">
        <v>771</v>
      </c>
      <c r="G629" s="8" t="s">
        <v>48</v>
      </c>
      <c r="H629" s="8" t="s">
        <v>1313</v>
      </c>
      <c r="I629" s="8" t="s">
        <v>1314</v>
      </c>
      <c r="J629" s="8"/>
      <c r="K629" s="8" t="s">
        <v>262</v>
      </c>
      <c r="L629" s="10">
        <v>46577</v>
      </c>
      <c r="M629" s="10"/>
      <c r="N629" s="10">
        <v>46516</v>
      </c>
      <c r="O629" s="11" t="s">
        <v>30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39" customHeight="1" x14ac:dyDescent="0.25">
      <c r="A630" s="102">
        <v>9</v>
      </c>
      <c r="B630" s="104">
        <v>2728</v>
      </c>
      <c r="C630" s="15">
        <v>2022</v>
      </c>
      <c r="D630" s="15" t="s">
        <v>745</v>
      </c>
      <c r="E630" s="8" t="s">
        <v>746</v>
      </c>
      <c r="F630" s="15" t="s">
        <v>747</v>
      </c>
      <c r="G630" s="15" t="s">
        <v>48</v>
      </c>
      <c r="H630" s="15"/>
      <c r="I630" s="8" t="s">
        <v>1314</v>
      </c>
      <c r="J630" s="15"/>
      <c r="K630" s="8" t="s">
        <v>262</v>
      </c>
      <c r="L630" s="14">
        <v>46689</v>
      </c>
      <c r="M630" s="14"/>
      <c r="N630" s="14">
        <v>46659</v>
      </c>
      <c r="O630" s="11" t="str">
        <f ca="1">IF(L630&gt;TODAY(),"Válida",IF(ISBLANK(L630),"Andamento",IF(L630&lt;TODAY(),"Vencida",IF(L630-TODAY()&lt;90,"URGENTE",IF(L630-TODAY()&lt;150,"RENOVAÇÃO",)))))</f>
        <v>Válida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39" customHeight="1" x14ac:dyDescent="0.25">
      <c r="A631" s="102">
        <v>10</v>
      </c>
      <c r="B631" s="104">
        <v>9624</v>
      </c>
      <c r="C631" s="15">
        <v>2025</v>
      </c>
      <c r="D631" s="187" t="s">
        <v>1099</v>
      </c>
      <c r="E631" s="8" t="s">
        <v>1282</v>
      </c>
      <c r="F631" s="8" t="s">
        <v>16</v>
      </c>
      <c r="G631" s="8" t="s">
        <v>1101</v>
      </c>
      <c r="H631" s="15"/>
      <c r="I631" s="8" t="s">
        <v>1314</v>
      </c>
      <c r="J631" s="15"/>
      <c r="K631" s="8" t="s">
        <v>262</v>
      </c>
      <c r="L631" s="14">
        <v>46832</v>
      </c>
      <c r="M631" s="14"/>
      <c r="N631" s="14">
        <v>46772</v>
      </c>
      <c r="O631" s="11" t="str">
        <f ca="1">IF(L631&gt;TODAY(),"Válida",IF(ISBLANK(L631),"Andamento",IF(L631&lt;TODAY(),"Vencida",IF(L631-TODAY()&lt;90,"URGENTE",IF(L631-TODAY()&lt;150,"RENOVAÇÃO",)))))</f>
        <v>Válida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39" customHeight="1" x14ac:dyDescent="0.25">
      <c r="A632" s="102">
        <v>11</v>
      </c>
      <c r="B632" s="104">
        <v>8227</v>
      </c>
      <c r="C632" s="61">
        <v>2024</v>
      </c>
      <c r="D632" s="23" t="s">
        <v>542</v>
      </c>
      <c r="E632" s="23" t="s">
        <v>543</v>
      </c>
      <c r="F632" s="23" t="s">
        <v>16</v>
      </c>
      <c r="G632" s="23" t="s">
        <v>383</v>
      </c>
      <c r="H632" s="61"/>
      <c r="I632" s="23" t="s">
        <v>1314</v>
      </c>
      <c r="J632" s="61"/>
      <c r="K632" s="23" t="s">
        <v>262</v>
      </c>
      <c r="L632" s="105"/>
      <c r="M632" s="105"/>
      <c r="N632" s="105"/>
      <c r="O632" s="26" t="s">
        <v>560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39" customHeight="1" x14ac:dyDescent="0.25">
      <c r="A633" s="102">
        <v>12</v>
      </c>
      <c r="B633" s="104">
        <v>9794</v>
      </c>
      <c r="C633" s="15">
        <v>2023</v>
      </c>
      <c r="D633" s="8" t="s">
        <v>318</v>
      </c>
      <c r="E633" s="8" t="s">
        <v>319</v>
      </c>
      <c r="F633" s="8" t="s">
        <v>193</v>
      </c>
      <c r="G633" s="8" t="s">
        <v>707</v>
      </c>
      <c r="H633" s="15"/>
      <c r="I633" s="8" t="s">
        <v>1314</v>
      </c>
      <c r="J633" s="15"/>
      <c r="K633" s="8" t="s">
        <v>262</v>
      </c>
      <c r="L633" s="14">
        <v>45971</v>
      </c>
      <c r="M633" s="14"/>
      <c r="N633" s="14">
        <v>45940</v>
      </c>
      <c r="O633" s="11" t="str">
        <f ca="1">IF(L633&gt;TODAY(),"Válida",IF(ISBLANK(L633),"Andamento",IF(L633&lt;TODAY(),"Vencida",IF(L633-TODAY()&lt;90,"URGENTE",IF(L633-TODAY()&lt;150,"RENOVAÇÃO",)))))</f>
        <v>Vencida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39" customHeight="1" x14ac:dyDescent="0.25">
      <c r="A634" s="102">
        <v>13</v>
      </c>
      <c r="B634" s="104">
        <v>4216</v>
      </c>
      <c r="C634" s="61">
        <v>2024</v>
      </c>
      <c r="D634" s="23" t="s">
        <v>860</v>
      </c>
      <c r="E634" s="23" t="s">
        <v>862</v>
      </c>
      <c r="F634" s="23" t="s">
        <v>16</v>
      </c>
      <c r="G634" s="23" t="s">
        <v>142</v>
      </c>
      <c r="H634" s="61"/>
      <c r="I634" s="23" t="s">
        <v>1314</v>
      </c>
      <c r="J634" s="61"/>
      <c r="K634" s="23" t="s">
        <v>262</v>
      </c>
      <c r="L634" s="105"/>
      <c r="M634" s="105"/>
      <c r="N634" s="105"/>
      <c r="O634" s="26" t="s">
        <v>560</v>
      </c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39" customHeight="1" x14ac:dyDescent="0.25">
      <c r="A635" s="102">
        <v>14</v>
      </c>
      <c r="B635" s="104">
        <v>3771</v>
      </c>
      <c r="C635" s="15">
        <v>2024</v>
      </c>
      <c r="D635" s="8" t="s">
        <v>909</v>
      </c>
      <c r="E635" s="8" t="s">
        <v>910</v>
      </c>
      <c r="F635" s="8" t="s">
        <v>16</v>
      </c>
      <c r="G635" s="8" t="s">
        <v>63</v>
      </c>
      <c r="H635" s="15"/>
      <c r="I635" s="8" t="s">
        <v>1314</v>
      </c>
      <c r="J635" s="15"/>
      <c r="K635" s="8" t="s">
        <v>262</v>
      </c>
      <c r="L635" s="14">
        <v>46775</v>
      </c>
      <c r="M635" s="14"/>
      <c r="N635" s="14">
        <v>46744</v>
      </c>
      <c r="O635" s="11" t="s">
        <v>30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39" customHeight="1" x14ac:dyDescent="0.25">
      <c r="A636" s="102">
        <v>15</v>
      </c>
      <c r="B636" s="104">
        <v>3785</v>
      </c>
      <c r="C636" s="15">
        <v>2024</v>
      </c>
      <c r="D636" s="8" t="s">
        <v>882</v>
      </c>
      <c r="E636" s="8" t="s">
        <v>1187</v>
      </c>
      <c r="F636" s="8" t="s">
        <v>16</v>
      </c>
      <c r="G636" s="8" t="s">
        <v>142</v>
      </c>
      <c r="H636" s="15"/>
      <c r="I636" s="8" t="s">
        <v>1314</v>
      </c>
      <c r="J636" s="8" t="s">
        <v>1314</v>
      </c>
      <c r="K636" s="8" t="s">
        <v>262</v>
      </c>
      <c r="L636" s="14">
        <v>46787</v>
      </c>
      <c r="M636" s="14"/>
      <c r="N636" s="14">
        <v>46756</v>
      </c>
      <c r="O636" s="11" t="s">
        <v>30</v>
      </c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39" customHeight="1" x14ac:dyDescent="0.25">
      <c r="A637" s="102">
        <v>16</v>
      </c>
      <c r="B637" s="104">
        <v>9625</v>
      </c>
      <c r="C637" s="211">
        <v>2025</v>
      </c>
      <c r="D637" s="187" t="s">
        <v>871</v>
      </c>
      <c r="E637" s="187" t="s">
        <v>872</v>
      </c>
      <c r="F637" s="187" t="s">
        <v>16</v>
      </c>
      <c r="G637" s="187" t="s">
        <v>142</v>
      </c>
      <c r="H637" s="211"/>
      <c r="I637" s="187" t="s">
        <v>1314</v>
      </c>
      <c r="J637" s="187"/>
      <c r="K637" s="187" t="s">
        <v>262</v>
      </c>
      <c r="L637" s="212">
        <v>46835</v>
      </c>
      <c r="M637" s="212"/>
      <c r="N637" s="212">
        <v>46775</v>
      </c>
      <c r="O637" s="11" t="s">
        <v>30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39" customHeight="1" x14ac:dyDescent="0.25">
      <c r="A638" s="102">
        <v>17</v>
      </c>
      <c r="B638" s="104">
        <v>5123</v>
      </c>
      <c r="C638" s="61">
        <v>2024</v>
      </c>
      <c r="D638" s="23" t="s">
        <v>483</v>
      </c>
      <c r="E638" s="23" t="s">
        <v>484</v>
      </c>
      <c r="F638" s="23" t="s">
        <v>16</v>
      </c>
      <c r="G638" s="23" t="s">
        <v>142</v>
      </c>
      <c r="H638" s="61"/>
      <c r="I638" s="23" t="s">
        <v>1314</v>
      </c>
      <c r="J638" s="61"/>
      <c r="K638" s="23" t="s">
        <v>262</v>
      </c>
      <c r="L638" s="105"/>
      <c r="M638" s="105"/>
      <c r="N638" s="105"/>
      <c r="O638" s="26" t="s">
        <v>560</v>
      </c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39" customHeight="1" x14ac:dyDescent="0.25">
      <c r="A639" s="1" t="s">
        <v>0</v>
      </c>
      <c r="B639" s="2" t="s">
        <v>1</v>
      </c>
      <c r="C639" s="2" t="s">
        <v>2</v>
      </c>
      <c r="D639" s="2" t="s">
        <v>3</v>
      </c>
      <c r="E639" s="2" t="s">
        <v>4</v>
      </c>
      <c r="F639" s="2" t="s">
        <v>5</v>
      </c>
      <c r="G639" s="2" t="s">
        <v>6</v>
      </c>
      <c r="H639" s="2" t="s">
        <v>7</v>
      </c>
      <c r="I639" s="2" t="s">
        <v>8</v>
      </c>
      <c r="J639" s="2" t="s">
        <v>9</v>
      </c>
      <c r="K639" s="2" t="s">
        <v>10</v>
      </c>
      <c r="L639" s="3" t="s">
        <v>11</v>
      </c>
      <c r="M639" s="3" t="s">
        <v>1820</v>
      </c>
      <c r="N639" s="4" t="s">
        <v>12</v>
      </c>
      <c r="O639" s="2" t="s">
        <v>13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34.5" customHeight="1" x14ac:dyDescent="0.25">
      <c r="A640" s="106">
        <v>1</v>
      </c>
      <c r="B640" s="107">
        <v>6568</v>
      </c>
      <c r="C640" s="8">
        <v>2022</v>
      </c>
      <c r="D640" s="8" t="s">
        <v>1321</v>
      </c>
      <c r="E640" s="8" t="s">
        <v>1322</v>
      </c>
      <c r="F640" s="8" t="s">
        <v>16</v>
      </c>
      <c r="G640" s="8" t="s">
        <v>17</v>
      </c>
      <c r="H640" s="8" t="s">
        <v>1323</v>
      </c>
      <c r="I640" s="8" t="s">
        <v>1338</v>
      </c>
      <c r="J640" s="8" t="s">
        <v>158</v>
      </c>
      <c r="K640" s="8" t="s">
        <v>21</v>
      </c>
      <c r="L640" s="10">
        <v>45555</v>
      </c>
      <c r="M640" s="10">
        <v>45556</v>
      </c>
      <c r="N640" s="10">
        <v>45555</v>
      </c>
      <c r="O640" s="108" t="s">
        <v>1324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34.5" customHeight="1" x14ac:dyDescent="0.25">
      <c r="A641" s="106">
        <v>2</v>
      </c>
      <c r="B641" s="107">
        <v>5898</v>
      </c>
      <c r="C641" s="8">
        <v>2021</v>
      </c>
      <c r="D641" s="8" t="s">
        <v>1325</v>
      </c>
      <c r="E641" s="8" t="s">
        <v>1326</v>
      </c>
      <c r="F641" s="8" t="s">
        <v>16</v>
      </c>
      <c r="G641" s="9" t="s">
        <v>67</v>
      </c>
      <c r="H641" s="8" t="s">
        <v>1323</v>
      </c>
      <c r="I641" s="8" t="s">
        <v>1338</v>
      </c>
      <c r="J641" s="8" t="s">
        <v>158</v>
      </c>
      <c r="K641" s="8" t="s">
        <v>21</v>
      </c>
      <c r="L641" s="10"/>
      <c r="M641" s="10"/>
      <c r="N641" s="10"/>
      <c r="O641" s="22" t="s">
        <v>1324</v>
      </c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34.5" customHeight="1" x14ac:dyDescent="0.25">
      <c r="A642" s="106">
        <v>3</v>
      </c>
      <c r="B642" s="109">
        <v>6102</v>
      </c>
      <c r="C642" s="15">
        <v>2021</v>
      </c>
      <c r="D642" s="8" t="s">
        <v>1327</v>
      </c>
      <c r="E642" s="110" t="s">
        <v>1328</v>
      </c>
      <c r="F642" s="8" t="s">
        <v>16</v>
      </c>
      <c r="G642" s="8" t="s">
        <v>195</v>
      </c>
      <c r="H642" s="8" t="s">
        <v>1323</v>
      </c>
      <c r="I642" s="8" t="s">
        <v>1329</v>
      </c>
      <c r="J642" s="8" t="s">
        <v>1330</v>
      </c>
      <c r="K642" s="8" t="s">
        <v>21</v>
      </c>
      <c r="L642" s="10">
        <v>45566</v>
      </c>
      <c r="M642" s="10">
        <v>45566</v>
      </c>
      <c r="N642" s="10">
        <v>45444</v>
      </c>
      <c r="O642" s="108" t="s">
        <v>1324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34.5" customHeight="1" x14ac:dyDescent="0.25">
      <c r="A643" s="106">
        <v>4</v>
      </c>
      <c r="B643" s="109">
        <v>5396</v>
      </c>
      <c r="C643" s="15">
        <v>2020</v>
      </c>
      <c r="D643" s="15" t="s">
        <v>1037</v>
      </c>
      <c r="E643" s="15" t="s">
        <v>1331</v>
      </c>
      <c r="F643" s="8" t="s">
        <v>16</v>
      </c>
      <c r="G643" s="8" t="s">
        <v>63</v>
      </c>
      <c r="H643" s="8" t="s">
        <v>1323</v>
      </c>
      <c r="I643" s="15" t="s">
        <v>1329</v>
      </c>
      <c r="J643" s="15" t="s">
        <v>1332</v>
      </c>
      <c r="K643" s="15" t="s">
        <v>21</v>
      </c>
      <c r="L643" s="14"/>
      <c r="M643" s="14"/>
      <c r="N643" s="14"/>
      <c r="O643" s="22" t="s">
        <v>1324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34.5" customHeight="1" x14ac:dyDescent="0.25">
      <c r="A644" s="106">
        <v>5</v>
      </c>
      <c r="B644" s="109">
        <v>15300005</v>
      </c>
      <c r="C644" s="111">
        <v>2024</v>
      </c>
      <c r="D644" s="111" t="s">
        <v>1333</v>
      </c>
      <c r="E644" s="111" t="s">
        <v>1334</v>
      </c>
      <c r="F644" s="112" t="s">
        <v>81</v>
      </c>
      <c r="G644" s="112" t="s">
        <v>432</v>
      </c>
      <c r="H644" s="112"/>
      <c r="I644" s="111" t="s">
        <v>1329</v>
      </c>
      <c r="J644" s="111"/>
      <c r="K644" s="111" t="s">
        <v>21</v>
      </c>
      <c r="L644" s="113"/>
      <c r="M644" s="113"/>
      <c r="N644" s="113"/>
      <c r="O644" s="114" t="s">
        <v>560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34.5" customHeight="1" x14ac:dyDescent="0.25">
      <c r="A645" s="106">
        <v>6</v>
      </c>
      <c r="B645" s="107">
        <v>4719</v>
      </c>
      <c r="C645" s="8">
        <v>2019</v>
      </c>
      <c r="D645" s="8" t="s">
        <v>871</v>
      </c>
      <c r="E645" s="21" t="s">
        <v>872</v>
      </c>
      <c r="F645" s="8" t="s">
        <v>16</v>
      </c>
      <c r="G645" s="8" t="s">
        <v>17</v>
      </c>
      <c r="H645" s="8" t="s">
        <v>1323</v>
      </c>
      <c r="I645" s="8" t="s">
        <v>1329</v>
      </c>
      <c r="J645" s="8" t="s">
        <v>158</v>
      </c>
      <c r="K645" s="8" t="s">
        <v>21</v>
      </c>
      <c r="L645" s="10"/>
      <c r="M645" s="10"/>
      <c r="N645" s="10"/>
      <c r="O645" s="115" t="s">
        <v>1335</v>
      </c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34.5" customHeight="1" x14ac:dyDescent="0.25">
      <c r="A646" s="106">
        <v>7</v>
      </c>
      <c r="B646" s="116">
        <v>51</v>
      </c>
      <c r="C646" s="9">
        <v>2021</v>
      </c>
      <c r="D646" s="9" t="s">
        <v>286</v>
      </c>
      <c r="E646" s="9" t="s">
        <v>294</v>
      </c>
      <c r="F646" s="9" t="s">
        <v>1336</v>
      </c>
      <c r="G646" s="9" t="s">
        <v>303</v>
      </c>
      <c r="H646" s="8" t="s">
        <v>1323</v>
      </c>
      <c r="I646" s="9" t="s">
        <v>1329</v>
      </c>
      <c r="J646" s="8" t="s">
        <v>158</v>
      </c>
      <c r="K646" s="8" t="s">
        <v>21</v>
      </c>
      <c r="L646" s="13">
        <v>44782</v>
      </c>
      <c r="M646" s="13">
        <v>44782</v>
      </c>
      <c r="N646" s="13">
        <v>44660</v>
      </c>
      <c r="O646" s="108" t="s">
        <v>1324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34.5" customHeight="1" x14ac:dyDescent="0.25">
      <c r="A647" s="106">
        <v>7</v>
      </c>
      <c r="B647" s="116">
        <v>386</v>
      </c>
      <c r="C647" s="9">
        <v>2023</v>
      </c>
      <c r="D647" s="9" t="s">
        <v>220</v>
      </c>
      <c r="E647" s="9" t="s">
        <v>27</v>
      </c>
      <c r="F647" s="9" t="s">
        <v>119</v>
      </c>
      <c r="G647" s="9" t="s">
        <v>1337</v>
      </c>
      <c r="H647" s="8"/>
      <c r="I647" s="9" t="s">
        <v>1329</v>
      </c>
      <c r="J647" s="8"/>
      <c r="K647" s="8" t="s">
        <v>21</v>
      </c>
      <c r="L647" s="13">
        <v>45604</v>
      </c>
      <c r="M647" s="13">
        <v>45604</v>
      </c>
      <c r="N647" s="13">
        <v>45451</v>
      </c>
      <c r="O647" s="108" t="s">
        <v>1324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34.5" customHeight="1" x14ac:dyDescent="0.25">
      <c r="A648" s="106">
        <v>8</v>
      </c>
      <c r="B648" s="107">
        <v>5907</v>
      </c>
      <c r="C648" s="21">
        <v>2021</v>
      </c>
      <c r="D648" s="8" t="s">
        <v>1339</v>
      </c>
      <c r="E648" s="8" t="s">
        <v>862</v>
      </c>
      <c r="F648" s="8" t="s">
        <v>16</v>
      </c>
      <c r="G648" s="8" t="s">
        <v>17</v>
      </c>
      <c r="H648" s="8" t="s">
        <v>1323</v>
      </c>
      <c r="I648" s="9" t="s">
        <v>1329</v>
      </c>
      <c r="J648" s="8" t="s">
        <v>1340</v>
      </c>
      <c r="K648" s="8" t="s">
        <v>21</v>
      </c>
      <c r="L648" s="10">
        <v>45555</v>
      </c>
      <c r="M648" s="10">
        <v>45555</v>
      </c>
      <c r="N648" s="10">
        <v>45555</v>
      </c>
      <c r="O648" s="108" t="s">
        <v>1324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34.5" customHeight="1" x14ac:dyDescent="0.25">
      <c r="A649" s="106">
        <v>9</v>
      </c>
      <c r="B649" s="107">
        <v>5868</v>
      </c>
      <c r="C649" s="59">
        <v>2021</v>
      </c>
      <c r="D649" s="23" t="s">
        <v>483</v>
      </c>
      <c r="E649" s="23" t="s">
        <v>484</v>
      </c>
      <c r="F649" s="23" t="s">
        <v>16</v>
      </c>
      <c r="G649" s="23" t="s">
        <v>485</v>
      </c>
      <c r="H649" s="23" t="s">
        <v>1323</v>
      </c>
      <c r="I649" s="23" t="s">
        <v>1338</v>
      </c>
      <c r="J649" s="23" t="s">
        <v>158</v>
      </c>
      <c r="K649" s="23" t="s">
        <v>21</v>
      </c>
      <c r="L649" s="25"/>
      <c r="M649" s="25"/>
      <c r="N649" s="25"/>
      <c r="O649" s="26" t="s">
        <v>560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34.5" customHeight="1" x14ac:dyDescent="0.25">
      <c r="A650" s="106">
        <v>10</v>
      </c>
      <c r="B650" s="109">
        <v>6087</v>
      </c>
      <c r="C650" s="111">
        <v>2021</v>
      </c>
      <c r="D650" s="111" t="s">
        <v>1341</v>
      </c>
      <c r="E650" s="111" t="s">
        <v>1342</v>
      </c>
      <c r="F650" s="111" t="s">
        <v>16</v>
      </c>
      <c r="G650" s="117" t="s">
        <v>67</v>
      </c>
      <c r="H650" s="111" t="s">
        <v>1323</v>
      </c>
      <c r="I650" s="111" t="s">
        <v>1329</v>
      </c>
      <c r="J650" s="111" t="s">
        <v>1343</v>
      </c>
      <c r="K650" s="118" t="s">
        <v>21</v>
      </c>
      <c r="L650" s="113"/>
      <c r="M650" s="113"/>
      <c r="N650" s="113"/>
      <c r="O650" s="119" t="s">
        <v>560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34.5" customHeight="1" x14ac:dyDescent="0.25">
      <c r="A651" s="106">
        <v>10</v>
      </c>
      <c r="B651" s="109">
        <v>8052</v>
      </c>
      <c r="C651" s="111">
        <v>2024</v>
      </c>
      <c r="D651" s="111" t="s">
        <v>1344</v>
      </c>
      <c r="E651" s="111" t="s">
        <v>1345</v>
      </c>
      <c r="F651" s="111" t="s">
        <v>16</v>
      </c>
      <c r="G651" s="117" t="s">
        <v>67</v>
      </c>
      <c r="H651" s="111"/>
      <c r="I651" s="111" t="s">
        <v>1329</v>
      </c>
      <c r="J651" s="111"/>
      <c r="K651" s="111" t="s">
        <v>21</v>
      </c>
      <c r="L651" s="113"/>
      <c r="M651" s="113"/>
      <c r="N651" s="113"/>
      <c r="O651" s="119" t="s">
        <v>560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39.75" customHeight="1" x14ac:dyDescent="0.25">
      <c r="A652" s="120">
        <v>11</v>
      </c>
      <c r="B652" s="116">
        <v>5814</v>
      </c>
      <c r="C652" s="117">
        <v>2021</v>
      </c>
      <c r="D652" s="117" t="s">
        <v>1346</v>
      </c>
      <c r="E652" s="117" t="s">
        <v>1347</v>
      </c>
      <c r="F652" s="117" t="s">
        <v>16</v>
      </c>
      <c r="G652" s="117" t="s">
        <v>67</v>
      </c>
      <c r="H652" s="112" t="s">
        <v>1323</v>
      </c>
      <c r="I652" s="117" t="s">
        <v>1329</v>
      </c>
      <c r="J652" s="117" t="s">
        <v>1348</v>
      </c>
      <c r="K652" s="112" t="s">
        <v>21</v>
      </c>
      <c r="L652" s="112"/>
      <c r="M652" s="112"/>
      <c r="N652" s="121"/>
      <c r="O652" s="119" t="s">
        <v>560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39.75" customHeight="1" x14ac:dyDescent="0.25">
      <c r="A653" s="120">
        <v>11</v>
      </c>
      <c r="B653" s="116">
        <v>5975</v>
      </c>
      <c r="C653" s="117">
        <v>2021</v>
      </c>
      <c r="D653" s="117" t="s">
        <v>1349</v>
      </c>
      <c r="E653" s="117" t="s">
        <v>1350</v>
      </c>
      <c r="F653" s="117" t="s">
        <v>16</v>
      </c>
      <c r="G653" s="117" t="s">
        <v>67</v>
      </c>
      <c r="H653" s="112" t="s">
        <v>1323</v>
      </c>
      <c r="I653" s="117" t="s">
        <v>1329</v>
      </c>
      <c r="J653" s="117" t="s">
        <v>1348</v>
      </c>
      <c r="K653" s="112" t="s">
        <v>21</v>
      </c>
      <c r="L653" s="112"/>
      <c r="M653" s="112"/>
      <c r="N653" s="121"/>
      <c r="O653" s="122" t="s">
        <v>560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39.75" customHeight="1" x14ac:dyDescent="0.25">
      <c r="A654" s="120">
        <v>12</v>
      </c>
      <c r="B654" s="116">
        <v>5779</v>
      </c>
      <c r="C654" s="117">
        <v>2017</v>
      </c>
      <c r="D654" s="117" t="s">
        <v>1351</v>
      </c>
      <c r="E654" s="117" t="s">
        <v>1352</v>
      </c>
      <c r="F654" s="117" t="s">
        <v>16</v>
      </c>
      <c r="G654" s="117" t="s">
        <v>67</v>
      </c>
      <c r="H654" s="112" t="s">
        <v>1323</v>
      </c>
      <c r="I654" s="117" t="s">
        <v>1329</v>
      </c>
      <c r="J654" s="117" t="s">
        <v>1348</v>
      </c>
      <c r="K654" s="112" t="s">
        <v>21</v>
      </c>
      <c r="L654" s="112"/>
      <c r="M654" s="112"/>
      <c r="N654" s="121"/>
      <c r="O654" s="122" t="s">
        <v>560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39.75" customHeight="1" x14ac:dyDescent="0.25">
      <c r="A655" s="120">
        <v>12</v>
      </c>
      <c r="B655" s="116">
        <v>5797</v>
      </c>
      <c r="C655" s="117">
        <v>2021</v>
      </c>
      <c r="D655" s="117" t="s">
        <v>1353</v>
      </c>
      <c r="E655" s="117" t="s">
        <v>1354</v>
      </c>
      <c r="F655" s="117" t="s">
        <v>16</v>
      </c>
      <c r="G655" s="117" t="s">
        <v>67</v>
      </c>
      <c r="H655" s="112" t="s">
        <v>1323</v>
      </c>
      <c r="I655" s="117" t="s">
        <v>1329</v>
      </c>
      <c r="J655" s="117" t="s">
        <v>1348</v>
      </c>
      <c r="K655" s="112" t="s">
        <v>21</v>
      </c>
      <c r="L655" s="112"/>
      <c r="M655" s="112"/>
      <c r="N655" s="121"/>
      <c r="O655" s="122" t="s">
        <v>560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39.75" customHeight="1" x14ac:dyDescent="0.25">
      <c r="A656" s="120">
        <v>12</v>
      </c>
      <c r="B656" s="116">
        <v>4117</v>
      </c>
      <c r="C656" s="117">
        <v>2018</v>
      </c>
      <c r="D656" s="117" t="s">
        <v>1355</v>
      </c>
      <c r="E656" s="117" t="s">
        <v>1356</v>
      </c>
      <c r="F656" s="117" t="s">
        <v>16</v>
      </c>
      <c r="G656" s="117" t="s">
        <v>67</v>
      </c>
      <c r="H656" s="112" t="s">
        <v>1323</v>
      </c>
      <c r="I656" s="117" t="s">
        <v>1329</v>
      </c>
      <c r="J656" s="117" t="s">
        <v>1348</v>
      </c>
      <c r="K656" s="112" t="s">
        <v>21</v>
      </c>
      <c r="L656" s="112"/>
      <c r="M656" s="112"/>
      <c r="N656" s="121"/>
      <c r="O656" s="122" t="s">
        <v>560</v>
      </c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39.75" customHeight="1" x14ac:dyDescent="0.25">
      <c r="A657" s="120">
        <v>12</v>
      </c>
      <c r="B657" s="116">
        <v>4119</v>
      </c>
      <c r="C657" s="117">
        <v>2018</v>
      </c>
      <c r="D657" s="117" t="s">
        <v>1357</v>
      </c>
      <c r="E657" s="117" t="s">
        <v>1358</v>
      </c>
      <c r="F657" s="117" t="s">
        <v>16</v>
      </c>
      <c r="G657" s="117" t="s">
        <v>67</v>
      </c>
      <c r="H657" s="112" t="s">
        <v>1323</v>
      </c>
      <c r="I657" s="117" t="s">
        <v>1329</v>
      </c>
      <c r="J657" s="117" t="s">
        <v>1348</v>
      </c>
      <c r="K657" s="112" t="s">
        <v>21</v>
      </c>
      <c r="L657" s="112"/>
      <c r="M657" s="112"/>
      <c r="N657" s="121"/>
      <c r="O657" s="122" t="s">
        <v>560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39.75" customHeight="1" x14ac:dyDescent="0.25">
      <c r="A658" s="120">
        <v>13</v>
      </c>
      <c r="B658" s="116">
        <v>17</v>
      </c>
      <c r="C658" s="117">
        <v>2018</v>
      </c>
      <c r="D658" s="117" t="s">
        <v>1359</v>
      </c>
      <c r="E658" s="117" t="s">
        <v>1360</v>
      </c>
      <c r="F658" s="117" t="s">
        <v>193</v>
      </c>
      <c r="G658" s="117" t="s">
        <v>67</v>
      </c>
      <c r="H658" s="112" t="s">
        <v>1323</v>
      </c>
      <c r="I658" s="112" t="s">
        <v>1329</v>
      </c>
      <c r="J658" s="117"/>
      <c r="K658" s="112" t="s">
        <v>21</v>
      </c>
      <c r="L658" s="112"/>
      <c r="M658" s="112"/>
      <c r="N658" s="121"/>
      <c r="O658" s="122" t="s">
        <v>560</v>
      </c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39.75" customHeight="1" x14ac:dyDescent="0.25">
      <c r="A659" s="120">
        <v>13</v>
      </c>
      <c r="B659" s="116">
        <v>347</v>
      </c>
      <c r="C659" s="117">
        <v>2023</v>
      </c>
      <c r="D659" s="117" t="s">
        <v>1361</v>
      </c>
      <c r="E659" s="117" t="s">
        <v>1362</v>
      </c>
      <c r="F659" s="117" t="s">
        <v>193</v>
      </c>
      <c r="G659" s="117" t="s">
        <v>67</v>
      </c>
      <c r="H659" s="112"/>
      <c r="I659" s="112" t="s">
        <v>1329</v>
      </c>
      <c r="J659" s="117"/>
      <c r="K659" s="112" t="s">
        <v>21</v>
      </c>
      <c r="L659" s="112"/>
      <c r="M659" s="112"/>
      <c r="N659" s="121"/>
      <c r="O659" s="122" t="s">
        <v>560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34.5" customHeight="1" x14ac:dyDescent="0.25">
      <c r="A660" s="106">
        <v>14</v>
      </c>
      <c r="B660" s="107">
        <v>6498</v>
      </c>
      <c r="C660" s="112">
        <v>2022</v>
      </c>
      <c r="D660" s="112" t="s">
        <v>1363</v>
      </c>
      <c r="E660" s="112" t="s">
        <v>1364</v>
      </c>
      <c r="F660" s="112" t="s">
        <v>16</v>
      </c>
      <c r="G660" s="112" t="s">
        <v>67</v>
      </c>
      <c r="H660" s="112"/>
      <c r="I660" s="112" t="s">
        <v>1329</v>
      </c>
      <c r="J660" s="112"/>
      <c r="K660" s="121" t="s">
        <v>21</v>
      </c>
      <c r="L660" s="121"/>
      <c r="M660" s="121"/>
      <c r="N660" s="123"/>
      <c r="O660" s="122" t="s">
        <v>560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39.75" customHeight="1" x14ac:dyDescent="0.25">
      <c r="A661" s="120">
        <v>15</v>
      </c>
      <c r="B661" s="116">
        <v>6232</v>
      </c>
      <c r="C661" s="117">
        <v>2021</v>
      </c>
      <c r="D661" s="117" t="s">
        <v>1365</v>
      </c>
      <c r="E661" s="117" t="s">
        <v>1366</v>
      </c>
      <c r="F661" s="117" t="s">
        <v>16</v>
      </c>
      <c r="G661" s="117" t="s">
        <v>67</v>
      </c>
      <c r="H661" s="112"/>
      <c r="I661" s="112" t="s">
        <v>1329</v>
      </c>
      <c r="J661" s="117"/>
      <c r="K661" s="112" t="s">
        <v>21</v>
      </c>
      <c r="L661" s="112"/>
      <c r="M661" s="112"/>
      <c r="N661" s="121"/>
      <c r="O661" s="122" t="s">
        <v>560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39.75" customHeight="1" x14ac:dyDescent="0.25">
      <c r="A662" s="120">
        <v>15</v>
      </c>
      <c r="B662" s="116">
        <v>9012</v>
      </c>
      <c r="C662" s="117">
        <v>2024</v>
      </c>
      <c r="D662" s="117" t="s">
        <v>1367</v>
      </c>
      <c r="E662" s="117" t="s">
        <v>1368</v>
      </c>
      <c r="F662" s="117" t="s">
        <v>16</v>
      </c>
      <c r="G662" s="117" t="s">
        <v>67</v>
      </c>
      <c r="H662" s="112"/>
      <c r="I662" s="112" t="s">
        <v>1329</v>
      </c>
      <c r="J662" s="117"/>
      <c r="K662" s="112" t="s">
        <v>21</v>
      </c>
      <c r="L662" s="112"/>
      <c r="M662" s="112"/>
      <c r="N662" s="121"/>
      <c r="O662" s="122" t="s">
        <v>560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39.75" customHeight="1" x14ac:dyDescent="0.25">
      <c r="A663" s="120">
        <v>15</v>
      </c>
      <c r="B663" s="116">
        <v>5095</v>
      </c>
      <c r="C663" s="117">
        <v>2019</v>
      </c>
      <c r="D663" s="117" t="s">
        <v>1369</v>
      </c>
      <c r="E663" s="117" t="s">
        <v>1370</v>
      </c>
      <c r="F663" s="117" t="s">
        <v>16</v>
      </c>
      <c r="G663" s="117" t="s">
        <v>67</v>
      </c>
      <c r="H663" s="112"/>
      <c r="I663" s="112" t="s">
        <v>1329</v>
      </c>
      <c r="J663" s="117"/>
      <c r="K663" s="112" t="s">
        <v>21</v>
      </c>
      <c r="L663" s="112"/>
      <c r="M663" s="112"/>
      <c r="N663" s="121"/>
      <c r="O663" s="122" t="s">
        <v>560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39.75" customHeight="1" x14ac:dyDescent="0.25">
      <c r="A664" s="120">
        <v>15</v>
      </c>
      <c r="B664" s="107">
        <v>5647</v>
      </c>
      <c r="C664" s="112">
        <v>2020</v>
      </c>
      <c r="D664" s="112" t="s">
        <v>1371</v>
      </c>
      <c r="E664" s="124" t="s">
        <v>1372</v>
      </c>
      <c r="F664" s="117" t="s">
        <v>16</v>
      </c>
      <c r="G664" s="117" t="s">
        <v>67</v>
      </c>
      <c r="H664" s="112" t="s">
        <v>1323</v>
      </c>
      <c r="I664" s="112" t="s">
        <v>1329</v>
      </c>
      <c r="J664" s="112" t="s">
        <v>1348</v>
      </c>
      <c r="K664" s="112" t="s">
        <v>21</v>
      </c>
      <c r="L664" s="121"/>
      <c r="M664" s="121"/>
      <c r="N664" s="121"/>
      <c r="O664" s="122" t="s">
        <v>560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38.25" customHeight="1" x14ac:dyDescent="0.25">
      <c r="A665" s="120">
        <v>17</v>
      </c>
      <c r="B665" s="107">
        <v>4601</v>
      </c>
      <c r="C665" s="16">
        <v>2019</v>
      </c>
      <c r="D665" s="16" t="s">
        <v>1373</v>
      </c>
      <c r="E665" s="125" t="s">
        <v>1374</v>
      </c>
      <c r="F665" s="29" t="s">
        <v>16</v>
      </c>
      <c r="G665" s="29" t="s">
        <v>67</v>
      </c>
      <c r="H665" s="16"/>
      <c r="I665" s="16" t="s">
        <v>1329</v>
      </c>
      <c r="J665" s="16"/>
      <c r="K665" s="16" t="s">
        <v>21</v>
      </c>
      <c r="L665" s="19">
        <v>46048</v>
      </c>
      <c r="M665" s="19">
        <v>45926</v>
      </c>
      <c r="N665" s="19">
        <v>45926</v>
      </c>
      <c r="O665" s="108" t="s">
        <v>385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39.75" customHeight="1" x14ac:dyDescent="0.25">
      <c r="A666" s="107">
        <v>18</v>
      </c>
      <c r="B666" s="107">
        <v>6378</v>
      </c>
      <c r="C666" s="112">
        <v>2022</v>
      </c>
      <c r="D666" s="112" t="s">
        <v>1375</v>
      </c>
      <c r="E666" s="117" t="s">
        <v>1376</v>
      </c>
      <c r="F666" s="112" t="s">
        <v>16</v>
      </c>
      <c r="G666" s="117" t="s">
        <v>67</v>
      </c>
      <c r="H666" s="112"/>
      <c r="I666" s="112" t="s">
        <v>1329</v>
      </c>
      <c r="J666" s="112"/>
      <c r="K666" s="112" t="s">
        <v>21</v>
      </c>
      <c r="L666" s="121"/>
      <c r="M666" s="121"/>
      <c r="N666" s="121"/>
      <c r="O666" s="122" t="s">
        <v>560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39.75" customHeight="1" x14ac:dyDescent="0.25">
      <c r="A667" s="107">
        <v>18</v>
      </c>
      <c r="B667" s="126">
        <v>7234</v>
      </c>
      <c r="C667" s="47">
        <v>2023</v>
      </c>
      <c r="D667" s="47" t="s">
        <v>1377</v>
      </c>
      <c r="E667" s="127" t="s">
        <v>1378</v>
      </c>
      <c r="F667" s="8" t="s">
        <v>16</v>
      </c>
      <c r="G667" s="9" t="s">
        <v>67</v>
      </c>
      <c r="H667" s="47"/>
      <c r="I667" s="8" t="s">
        <v>1329</v>
      </c>
      <c r="J667" s="47"/>
      <c r="K667" s="8" t="s">
        <v>21</v>
      </c>
      <c r="L667" s="48">
        <v>47013</v>
      </c>
      <c r="M667" s="48">
        <v>45733</v>
      </c>
      <c r="N667" s="48">
        <v>46890</v>
      </c>
      <c r="O667" s="22" t="s">
        <v>30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39.75" customHeight="1" x14ac:dyDescent="0.25">
      <c r="A668" s="107">
        <v>19</v>
      </c>
      <c r="B668" s="126">
        <v>6758</v>
      </c>
      <c r="C668" s="128">
        <v>2022</v>
      </c>
      <c r="D668" s="128" t="s">
        <v>1379</v>
      </c>
      <c r="E668" s="129" t="s">
        <v>1380</v>
      </c>
      <c r="F668" s="128" t="s">
        <v>16</v>
      </c>
      <c r="G668" s="129" t="s">
        <v>67</v>
      </c>
      <c r="H668" s="128"/>
      <c r="I668" s="128" t="s">
        <v>1329</v>
      </c>
      <c r="J668" s="128"/>
      <c r="K668" s="128" t="s">
        <v>21</v>
      </c>
      <c r="L668" s="130"/>
      <c r="M668" s="130"/>
      <c r="N668" s="130"/>
      <c r="O668" s="131" t="s">
        <v>560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39.75" customHeight="1" x14ac:dyDescent="0.25">
      <c r="A669" s="132">
        <v>19</v>
      </c>
      <c r="B669" s="126">
        <v>7644</v>
      </c>
      <c r="C669" s="128">
        <v>2023</v>
      </c>
      <c r="D669" s="128" t="s">
        <v>1381</v>
      </c>
      <c r="E669" s="129" t="s">
        <v>1382</v>
      </c>
      <c r="F669" s="128" t="s">
        <v>16</v>
      </c>
      <c r="G669" s="129" t="s">
        <v>67</v>
      </c>
      <c r="H669" s="128"/>
      <c r="I669" s="128" t="s">
        <v>1329</v>
      </c>
      <c r="J669" s="128"/>
      <c r="K669" s="128" t="s">
        <v>21</v>
      </c>
      <c r="L669" s="130"/>
      <c r="M669" s="130"/>
      <c r="N669" s="130"/>
      <c r="O669" s="131" t="s">
        <v>560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39.75" customHeight="1" x14ac:dyDescent="0.25">
      <c r="A670" s="106">
        <v>19</v>
      </c>
      <c r="B670" s="107">
        <v>7212</v>
      </c>
      <c r="C670" s="112">
        <v>2023</v>
      </c>
      <c r="D670" s="112" t="s">
        <v>1381</v>
      </c>
      <c r="E670" s="112" t="s">
        <v>1383</v>
      </c>
      <c r="F670" s="117" t="s">
        <v>16</v>
      </c>
      <c r="G670" s="117" t="s">
        <v>432</v>
      </c>
      <c r="H670" s="112"/>
      <c r="I670" s="112" t="s">
        <v>1329</v>
      </c>
      <c r="J670" s="117"/>
      <c r="K670" s="112" t="s">
        <v>21</v>
      </c>
      <c r="L670" s="121"/>
      <c r="M670" s="121"/>
      <c r="N670" s="123"/>
      <c r="O670" s="122" t="s">
        <v>560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35.25" customHeight="1" x14ac:dyDescent="0.25">
      <c r="A671" s="106">
        <v>19</v>
      </c>
      <c r="B671" s="107">
        <v>6997</v>
      </c>
      <c r="C671" s="112">
        <v>2022</v>
      </c>
      <c r="D671" s="133" t="s">
        <v>1384</v>
      </c>
      <c r="E671" s="112" t="s">
        <v>1385</v>
      </c>
      <c r="F671" s="117" t="s">
        <v>16</v>
      </c>
      <c r="G671" s="117" t="s">
        <v>432</v>
      </c>
      <c r="H671" s="112"/>
      <c r="I671" s="112" t="s">
        <v>1329</v>
      </c>
      <c r="J671" s="117"/>
      <c r="K671" s="112" t="s">
        <v>21</v>
      </c>
      <c r="L671" s="121"/>
      <c r="M671" s="121"/>
      <c r="N671" s="123"/>
      <c r="O671" s="122" t="s">
        <v>560</v>
      </c>
    </row>
    <row r="672" spans="1:39" ht="35.25" customHeight="1" x14ac:dyDescent="0.25">
      <c r="A672" s="106">
        <v>19</v>
      </c>
      <c r="B672" s="107">
        <v>54</v>
      </c>
      <c r="C672" s="112">
        <v>2022</v>
      </c>
      <c r="D672" s="112" t="s">
        <v>1386</v>
      </c>
      <c r="E672" s="112" t="s">
        <v>1387</v>
      </c>
      <c r="F672" s="117" t="s">
        <v>1388</v>
      </c>
      <c r="G672" s="117" t="s">
        <v>67</v>
      </c>
      <c r="H672" s="112"/>
      <c r="I672" s="112" t="s">
        <v>1329</v>
      </c>
      <c r="J672" s="117"/>
      <c r="K672" s="112" t="s">
        <v>21</v>
      </c>
      <c r="L672" s="121"/>
      <c r="M672" s="121"/>
      <c r="N672" s="123"/>
      <c r="O672" s="122" t="s">
        <v>560</v>
      </c>
    </row>
    <row r="673" spans="1:15" ht="35.25" customHeight="1" x14ac:dyDescent="0.25">
      <c r="A673" s="106">
        <v>19</v>
      </c>
      <c r="B673" s="107">
        <v>6189</v>
      </c>
      <c r="C673" s="112">
        <v>2021</v>
      </c>
      <c r="D673" s="112" t="s">
        <v>1389</v>
      </c>
      <c r="E673" s="112" t="s">
        <v>1390</v>
      </c>
      <c r="F673" s="117" t="s">
        <v>16</v>
      </c>
      <c r="G673" s="117" t="s">
        <v>67</v>
      </c>
      <c r="H673" s="112"/>
      <c r="I673" s="112" t="s">
        <v>1329</v>
      </c>
      <c r="J673" s="117"/>
      <c r="K673" s="112" t="s">
        <v>21</v>
      </c>
      <c r="L673" s="121"/>
      <c r="M673" s="121"/>
      <c r="N673" s="123"/>
      <c r="O673" s="122" t="s">
        <v>560</v>
      </c>
    </row>
    <row r="674" spans="1:15" ht="35.25" customHeight="1" x14ac:dyDescent="0.25">
      <c r="A674" s="106">
        <v>19</v>
      </c>
      <c r="B674" s="107">
        <v>5463</v>
      </c>
      <c r="C674" s="112">
        <v>2020</v>
      </c>
      <c r="D674" s="133" t="s">
        <v>1391</v>
      </c>
      <c r="E674" s="112" t="s">
        <v>1392</v>
      </c>
      <c r="F674" s="117" t="s">
        <v>16</v>
      </c>
      <c r="G674" s="117" t="s">
        <v>432</v>
      </c>
      <c r="H674" s="112"/>
      <c r="I674" s="112" t="s">
        <v>1329</v>
      </c>
      <c r="J674" s="117"/>
      <c r="K674" s="112" t="s">
        <v>21</v>
      </c>
      <c r="L674" s="121"/>
      <c r="M674" s="121"/>
      <c r="N674" s="123"/>
      <c r="O674" s="122" t="s">
        <v>560</v>
      </c>
    </row>
    <row r="675" spans="1:15" ht="35.25" customHeight="1" x14ac:dyDescent="0.25">
      <c r="A675" s="107">
        <v>20</v>
      </c>
      <c r="B675" s="107">
        <v>5732</v>
      </c>
      <c r="C675" s="111">
        <v>2021</v>
      </c>
      <c r="D675" s="111" t="s">
        <v>1393</v>
      </c>
      <c r="E675" s="111" t="s">
        <v>1394</v>
      </c>
      <c r="F675" s="112" t="s">
        <v>16</v>
      </c>
      <c r="G675" s="117" t="s">
        <v>67</v>
      </c>
      <c r="H675" s="112"/>
      <c r="I675" s="112" t="s">
        <v>1329</v>
      </c>
      <c r="J675" s="112"/>
      <c r="K675" s="112" t="s">
        <v>21</v>
      </c>
      <c r="L675" s="113"/>
      <c r="M675" s="113"/>
      <c r="N675" s="121"/>
      <c r="O675" s="122" t="s">
        <v>560</v>
      </c>
    </row>
    <row r="676" spans="1:15" ht="35.25" customHeight="1" x14ac:dyDescent="0.25">
      <c r="A676" s="107">
        <v>20</v>
      </c>
      <c r="B676" s="107">
        <v>7681</v>
      </c>
      <c r="C676" s="17">
        <v>2023</v>
      </c>
      <c r="D676" s="17" t="s">
        <v>1395</v>
      </c>
      <c r="E676" s="17" t="s">
        <v>1396</v>
      </c>
      <c r="F676" s="16" t="s">
        <v>16</v>
      </c>
      <c r="G676" s="29" t="s">
        <v>67</v>
      </c>
      <c r="H676" s="16"/>
      <c r="I676" s="16" t="s">
        <v>1329</v>
      </c>
      <c r="J676" s="16"/>
      <c r="K676" s="16" t="s">
        <v>21</v>
      </c>
      <c r="L676" s="36">
        <v>46993</v>
      </c>
      <c r="M676" s="36">
        <v>46871</v>
      </c>
      <c r="N676" s="19">
        <v>46871</v>
      </c>
      <c r="O676" s="108" t="s">
        <v>1324</v>
      </c>
    </row>
    <row r="677" spans="1:15" ht="33" customHeight="1" x14ac:dyDescent="0.25">
      <c r="A677" s="107">
        <v>21</v>
      </c>
      <c r="B677" s="107">
        <v>244</v>
      </c>
      <c r="C677" s="17">
        <v>2020</v>
      </c>
      <c r="D677" s="17" t="s">
        <v>1397</v>
      </c>
      <c r="E677" s="17" t="s">
        <v>1398</v>
      </c>
      <c r="F677" s="16" t="s">
        <v>482</v>
      </c>
      <c r="G677" s="29" t="s">
        <v>67</v>
      </c>
      <c r="H677" s="16"/>
      <c r="I677" s="16" t="s">
        <v>1329</v>
      </c>
      <c r="J677" s="16"/>
      <c r="K677" s="16" t="s">
        <v>21</v>
      </c>
      <c r="L677" s="36">
        <v>44834</v>
      </c>
      <c r="M677" s="36">
        <v>44834</v>
      </c>
      <c r="N677" s="19">
        <v>44711</v>
      </c>
      <c r="O677" s="108" t="s">
        <v>1324</v>
      </c>
    </row>
    <row r="678" spans="1:15" ht="31.5" customHeight="1" x14ac:dyDescent="0.25">
      <c r="A678" s="107">
        <v>21</v>
      </c>
      <c r="B678" s="107">
        <v>6023</v>
      </c>
      <c r="C678" s="111">
        <v>2021</v>
      </c>
      <c r="D678" s="111" t="s">
        <v>1399</v>
      </c>
      <c r="E678" s="111" t="s">
        <v>1400</v>
      </c>
      <c r="F678" s="112" t="s">
        <v>16</v>
      </c>
      <c r="G678" s="117" t="s">
        <v>67</v>
      </c>
      <c r="H678" s="112"/>
      <c r="I678" s="112" t="s">
        <v>1329</v>
      </c>
      <c r="J678" s="112"/>
      <c r="K678" s="112" t="s">
        <v>21</v>
      </c>
      <c r="L678" s="113"/>
      <c r="M678" s="113"/>
      <c r="N678" s="134"/>
      <c r="O678" s="122" t="s">
        <v>560</v>
      </c>
    </row>
    <row r="679" spans="1:15" ht="39.75" customHeight="1" x14ac:dyDescent="0.25">
      <c r="A679" s="107">
        <v>22</v>
      </c>
      <c r="B679" s="107">
        <v>5040</v>
      </c>
      <c r="C679" s="17">
        <v>2022</v>
      </c>
      <c r="D679" s="17" t="s">
        <v>561</v>
      </c>
      <c r="E679" s="17" t="s">
        <v>562</v>
      </c>
      <c r="F679" s="16" t="s">
        <v>104</v>
      </c>
      <c r="G679" s="18" t="s">
        <v>416</v>
      </c>
      <c r="H679" s="16"/>
      <c r="I679" s="16" t="s">
        <v>1338</v>
      </c>
      <c r="J679" s="16"/>
      <c r="K679" s="16" t="s">
        <v>21</v>
      </c>
      <c r="L679" s="36">
        <v>45172</v>
      </c>
      <c r="M679" s="36">
        <v>45172</v>
      </c>
      <c r="N679" s="36">
        <v>45141</v>
      </c>
      <c r="O679" s="108" t="s">
        <v>1324</v>
      </c>
    </row>
    <row r="680" spans="1:15" ht="31.5" customHeight="1" x14ac:dyDescent="0.25">
      <c r="A680" s="107">
        <v>23</v>
      </c>
      <c r="B680" s="107">
        <v>7031</v>
      </c>
      <c r="C680" s="17">
        <v>2022</v>
      </c>
      <c r="D680" s="17" t="s">
        <v>1045</v>
      </c>
      <c r="E680" s="17" t="s">
        <v>1046</v>
      </c>
      <c r="F680" s="16" t="s">
        <v>16</v>
      </c>
      <c r="G680" s="18" t="s">
        <v>67</v>
      </c>
      <c r="H680" s="16"/>
      <c r="I680" s="16" t="s">
        <v>1338</v>
      </c>
      <c r="J680" s="16"/>
      <c r="K680" s="16" t="s">
        <v>21</v>
      </c>
      <c r="L680" s="36">
        <v>45720</v>
      </c>
      <c r="M680" s="36">
        <v>45720</v>
      </c>
      <c r="N680" s="36">
        <v>45692</v>
      </c>
      <c r="O680" s="135" t="s">
        <v>385</v>
      </c>
    </row>
    <row r="681" spans="1:15" ht="31.5" customHeight="1" x14ac:dyDescent="0.25">
      <c r="A681" s="107">
        <v>24</v>
      </c>
      <c r="B681" s="107">
        <v>7556</v>
      </c>
      <c r="C681" s="15">
        <v>2023</v>
      </c>
      <c r="D681" s="15" t="s">
        <v>1401</v>
      </c>
      <c r="E681" s="15" t="s">
        <v>1402</v>
      </c>
      <c r="F681" s="8" t="s">
        <v>16</v>
      </c>
      <c r="G681" s="9" t="s">
        <v>67</v>
      </c>
      <c r="H681" s="67"/>
      <c r="I681" s="8" t="s">
        <v>1329</v>
      </c>
      <c r="J681" s="67"/>
      <c r="K681" s="8" t="s">
        <v>21</v>
      </c>
      <c r="L681" s="14">
        <v>46826</v>
      </c>
      <c r="M681" s="14">
        <v>45975</v>
      </c>
      <c r="N681" s="14">
        <v>46705</v>
      </c>
      <c r="O681" s="11" t="s">
        <v>385</v>
      </c>
    </row>
    <row r="682" spans="1:15" ht="31.5" customHeight="1" x14ac:dyDescent="0.25">
      <c r="A682" s="107">
        <v>25</v>
      </c>
      <c r="B682" s="107">
        <v>7588</v>
      </c>
      <c r="C682" s="111">
        <v>2023</v>
      </c>
      <c r="D682" s="111" t="s">
        <v>1403</v>
      </c>
      <c r="E682" s="111" t="s">
        <v>1404</v>
      </c>
      <c r="F682" s="112" t="s">
        <v>16</v>
      </c>
      <c r="G682" s="117" t="s">
        <v>67</v>
      </c>
      <c r="H682" s="136"/>
      <c r="I682" s="112" t="s">
        <v>1329</v>
      </c>
      <c r="J682" s="136"/>
      <c r="K682" s="112" t="s">
        <v>21</v>
      </c>
      <c r="L682" s="113"/>
      <c r="M682" s="113"/>
      <c r="N682" s="113"/>
      <c r="O682" s="122" t="s">
        <v>560</v>
      </c>
    </row>
    <row r="683" spans="1:15" ht="31.5" customHeight="1" x14ac:dyDescent="0.25">
      <c r="A683" s="107">
        <v>26</v>
      </c>
      <c r="B683" s="107">
        <v>258</v>
      </c>
      <c r="C683" s="111">
        <v>2023</v>
      </c>
      <c r="D683" s="111" t="s">
        <v>1405</v>
      </c>
      <c r="E683" s="111" t="s">
        <v>1406</v>
      </c>
      <c r="F683" s="112" t="s">
        <v>276</v>
      </c>
      <c r="G683" s="117" t="s">
        <v>67</v>
      </c>
      <c r="H683" s="136"/>
      <c r="I683" s="112" t="s">
        <v>1329</v>
      </c>
      <c r="J683" s="136"/>
      <c r="K683" s="112" t="s">
        <v>21</v>
      </c>
      <c r="L683" s="113"/>
      <c r="M683" s="137"/>
      <c r="N683" s="113"/>
      <c r="O683" s="122" t="s">
        <v>560</v>
      </c>
    </row>
    <row r="684" spans="1:15" ht="31.5" customHeight="1" x14ac:dyDescent="0.25">
      <c r="A684" s="107">
        <v>26</v>
      </c>
      <c r="B684" s="107">
        <v>85</v>
      </c>
      <c r="C684" s="111">
        <v>2023</v>
      </c>
      <c r="D684" s="111" t="s">
        <v>1407</v>
      </c>
      <c r="E684" s="111" t="s">
        <v>1408</v>
      </c>
      <c r="F684" s="112" t="s">
        <v>681</v>
      </c>
      <c r="G684" s="117" t="s">
        <v>67</v>
      </c>
      <c r="H684" s="136"/>
      <c r="I684" s="112" t="s">
        <v>1329</v>
      </c>
      <c r="J684" s="136"/>
      <c r="K684" s="112" t="s">
        <v>21</v>
      </c>
      <c r="L684" s="113"/>
      <c r="M684" s="113"/>
      <c r="N684" s="113"/>
      <c r="O684" s="122" t="s">
        <v>560</v>
      </c>
    </row>
    <row r="685" spans="1:15" ht="38.25" customHeight="1" x14ac:dyDescent="0.25">
      <c r="A685" s="107">
        <v>26</v>
      </c>
      <c r="B685" s="107">
        <v>6003</v>
      </c>
      <c r="C685" s="111">
        <v>2021</v>
      </c>
      <c r="D685" s="111" t="s">
        <v>1409</v>
      </c>
      <c r="E685" s="111" t="s">
        <v>1410</v>
      </c>
      <c r="F685" s="112" t="s">
        <v>16</v>
      </c>
      <c r="G685" s="117" t="s">
        <v>67</v>
      </c>
      <c r="H685" s="118"/>
      <c r="I685" s="112" t="s">
        <v>1329</v>
      </c>
      <c r="J685" s="118"/>
      <c r="K685" s="112" t="s">
        <v>21</v>
      </c>
      <c r="L685" s="113"/>
      <c r="M685" s="113"/>
      <c r="N685" s="113"/>
      <c r="O685" s="122" t="s">
        <v>560</v>
      </c>
    </row>
    <row r="686" spans="1:15" ht="38.25" customHeight="1" x14ac:dyDescent="0.25">
      <c r="A686" s="107">
        <v>27</v>
      </c>
      <c r="B686" s="107">
        <v>3576</v>
      </c>
      <c r="C686" s="15">
        <v>2024</v>
      </c>
      <c r="D686" s="15" t="s">
        <v>515</v>
      </c>
      <c r="E686" s="8" t="s">
        <v>516</v>
      </c>
      <c r="F686" s="8" t="s">
        <v>16</v>
      </c>
      <c r="G686" s="9" t="s">
        <v>142</v>
      </c>
      <c r="H686" s="69"/>
      <c r="I686" s="8" t="s">
        <v>1338</v>
      </c>
      <c r="J686" s="69"/>
      <c r="K686" s="8" t="s">
        <v>262</v>
      </c>
      <c r="L686" s="14">
        <v>45968</v>
      </c>
      <c r="M686" s="14">
        <v>45968</v>
      </c>
      <c r="N686" s="14">
        <v>45845</v>
      </c>
      <c r="O686" s="22" t="s">
        <v>30</v>
      </c>
    </row>
    <row r="687" spans="1:15" ht="38.25" customHeight="1" x14ac:dyDescent="0.25">
      <c r="A687" s="107">
        <v>28</v>
      </c>
      <c r="B687" s="107" t="s">
        <v>1411</v>
      </c>
      <c r="C687" s="15">
        <v>2024</v>
      </c>
      <c r="D687" s="15" t="s">
        <v>234</v>
      </c>
      <c r="E687" s="8" t="s">
        <v>237</v>
      </c>
      <c r="F687" s="8" t="s">
        <v>16</v>
      </c>
      <c r="G687" s="9" t="s">
        <v>142</v>
      </c>
      <c r="H687" s="69"/>
      <c r="I687" s="8" t="s">
        <v>1338</v>
      </c>
      <c r="J687" s="69"/>
      <c r="K687" s="8" t="s">
        <v>21</v>
      </c>
      <c r="L687" s="14">
        <v>46034</v>
      </c>
      <c r="M687" s="14">
        <v>45672</v>
      </c>
      <c r="N687" s="14">
        <v>45672</v>
      </c>
      <c r="O687" s="22" t="s">
        <v>30</v>
      </c>
    </row>
    <row r="688" spans="1:15" ht="38.25" customHeight="1" x14ac:dyDescent="0.25">
      <c r="A688" s="107">
        <v>29</v>
      </c>
      <c r="B688" s="107" t="s">
        <v>1412</v>
      </c>
      <c r="C688" s="15">
        <v>2025</v>
      </c>
      <c r="D688" s="15" t="s">
        <v>37</v>
      </c>
      <c r="E688" s="8" t="s">
        <v>1413</v>
      </c>
      <c r="F688" s="8" t="s">
        <v>253</v>
      </c>
      <c r="G688" s="9" t="s">
        <v>39</v>
      </c>
      <c r="H688" s="69"/>
      <c r="I688" s="8" t="s">
        <v>1338</v>
      </c>
      <c r="J688" s="69"/>
      <c r="K688" s="8" t="s">
        <v>21</v>
      </c>
      <c r="L688" s="14">
        <v>46078</v>
      </c>
      <c r="M688" s="14">
        <v>46047</v>
      </c>
      <c r="N688" s="14">
        <v>46047</v>
      </c>
      <c r="O688" s="22" t="s">
        <v>30</v>
      </c>
    </row>
    <row r="689" spans="1:15" ht="38.25" customHeight="1" x14ac:dyDescent="0.25">
      <c r="A689" s="107">
        <v>30</v>
      </c>
      <c r="B689" s="107" t="s">
        <v>1414</v>
      </c>
      <c r="C689" s="15">
        <v>2025</v>
      </c>
      <c r="D689" s="15" t="s">
        <v>1415</v>
      </c>
      <c r="E689" s="8" t="s">
        <v>1416</v>
      </c>
      <c r="F689" s="8" t="s">
        <v>482</v>
      </c>
      <c r="G689" s="9" t="s">
        <v>432</v>
      </c>
      <c r="H689" s="69"/>
      <c r="I689" s="8" t="s">
        <v>1329</v>
      </c>
      <c r="J689" s="69"/>
      <c r="K689" s="8" t="s">
        <v>21</v>
      </c>
      <c r="L689" s="14">
        <v>46965</v>
      </c>
      <c r="M689" s="14">
        <v>46234</v>
      </c>
      <c r="N689" s="14">
        <v>46843</v>
      </c>
      <c r="O689" s="22" t="s">
        <v>30</v>
      </c>
    </row>
    <row r="690" spans="1:15" ht="38.25" customHeight="1" x14ac:dyDescent="0.25">
      <c r="A690" s="107">
        <v>30</v>
      </c>
      <c r="B690" s="107" t="s">
        <v>1417</v>
      </c>
      <c r="C690" s="15">
        <v>2025</v>
      </c>
      <c r="D690" s="15" t="s">
        <v>1418</v>
      </c>
      <c r="E690" s="8" t="s">
        <v>1419</v>
      </c>
      <c r="F690" s="8" t="s">
        <v>482</v>
      </c>
      <c r="G690" s="9" t="s">
        <v>432</v>
      </c>
      <c r="H690" s="69"/>
      <c r="I690" s="8" t="s">
        <v>1329</v>
      </c>
      <c r="J690" s="69"/>
      <c r="K690" s="8" t="s">
        <v>21</v>
      </c>
      <c r="L690" s="14">
        <v>47075</v>
      </c>
      <c r="M690" s="14">
        <v>46344</v>
      </c>
      <c r="N690" s="14">
        <v>46952</v>
      </c>
      <c r="O690" s="22" t="s">
        <v>30</v>
      </c>
    </row>
    <row r="691" spans="1:15" ht="38.25" customHeight="1" x14ac:dyDescent="0.25">
      <c r="A691" s="107">
        <v>31</v>
      </c>
      <c r="B691" s="107">
        <v>202515300002</v>
      </c>
      <c r="C691" s="15">
        <v>2025</v>
      </c>
      <c r="D691" s="15" t="s">
        <v>1420</v>
      </c>
      <c r="E691" s="8" t="s">
        <v>1421</v>
      </c>
      <c r="F691" s="8" t="s">
        <v>81</v>
      </c>
      <c r="G691" s="9" t="s">
        <v>432</v>
      </c>
      <c r="H691" s="69"/>
      <c r="I691" s="8" t="s">
        <v>1329</v>
      </c>
      <c r="J691" s="69"/>
      <c r="K691" s="8" t="s">
        <v>21</v>
      </c>
      <c r="L691" s="14">
        <v>47012</v>
      </c>
      <c r="M691" s="14">
        <v>46158</v>
      </c>
      <c r="N691" s="14">
        <v>46889</v>
      </c>
      <c r="O691" s="22" t="s">
        <v>30</v>
      </c>
    </row>
  </sheetData>
  <phoneticPr fontId="33" type="noConversion"/>
  <pageMargins left="0.25" right="0.25" top="0.75" bottom="0.75" header="0" footer="0"/>
  <pageSetup scale="1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28515625" customWidth="1"/>
    <col min="2" max="2" width="8.7109375" customWidth="1"/>
    <col min="3" max="3" width="9.28515625" customWidth="1"/>
    <col min="4" max="4" width="26.42578125" customWidth="1"/>
    <col min="5" max="5" width="38.85546875" customWidth="1"/>
    <col min="6" max="6" width="33.85546875" customWidth="1"/>
    <col min="7" max="7" width="30" customWidth="1"/>
    <col min="8" max="8" width="23" customWidth="1"/>
    <col min="9" max="9" width="10.140625" customWidth="1"/>
    <col min="10" max="10" width="23.5703125" customWidth="1"/>
    <col min="11" max="11" width="27.140625" hidden="1" customWidth="1"/>
    <col min="12" max="12" width="10.28515625" hidden="1" customWidth="1"/>
    <col min="13" max="13" width="20.28515625" hidden="1" customWidth="1"/>
    <col min="14" max="14" width="12.28515625" hidden="1" customWidth="1"/>
    <col min="15" max="15" width="11.5703125" hidden="1" customWidth="1"/>
    <col min="16" max="16" width="17.7109375" hidden="1" customWidth="1"/>
    <col min="17" max="26" width="8.7109375" customWidth="1"/>
  </cols>
  <sheetData>
    <row r="1" spans="1:26" ht="39.75" customHeight="1" x14ac:dyDescent="0.25">
      <c r="A1" s="138" t="s">
        <v>0</v>
      </c>
      <c r="B1" s="138" t="s">
        <v>1422</v>
      </c>
      <c r="C1" s="138" t="s">
        <v>2</v>
      </c>
      <c r="D1" s="138" t="s">
        <v>3</v>
      </c>
      <c r="E1" s="138" t="s">
        <v>4</v>
      </c>
      <c r="F1" s="138" t="s">
        <v>1423</v>
      </c>
      <c r="G1" s="138" t="s">
        <v>5</v>
      </c>
      <c r="H1" s="138" t="s">
        <v>6</v>
      </c>
      <c r="I1" s="138" t="s">
        <v>7</v>
      </c>
      <c r="J1" s="138" t="s">
        <v>1424</v>
      </c>
      <c r="K1" s="138" t="s">
        <v>1425</v>
      </c>
      <c r="L1" s="138" t="s">
        <v>1426</v>
      </c>
      <c r="M1" s="138" t="s">
        <v>1427</v>
      </c>
      <c r="N1" s="138" t="s">
        <v>1428</v>
      </c>
      <c r="O1" s="138"/>
      <c r="P1" s="138" t="s">
        <v>1429</v>
      </c>
      <c r="Q1" s="139"/>
      <c r="R1" s="139"/>
      <c r="S1" s="140"/>
      <c r="T1" s="140"/>
      <c r="U1" s="140"/>
      <c r="V1" s="140"/>
      <c r="W1" s="140"/>
      <c r="X1" s="140"/>
      <c r="Y1" s="140"/>
      <c r="Z1" s="140"/>
    </row>
    <row r="2" spans="1:26" ht="39.75" customHeight="1" x14ac:dyDescent="0.25">
      <c r="A2" s="16"/>
      <c r="B2" s="141"/>
      <c r="C2" s="16"/>
      <c r="D2" s="141" t="s">
        <v>1430</v>
      </c>
      <c r="E2" s="142" t="s">
        <v>1431</v>
      </c>
      <c r="F2" s="142" t="s">
        <v>1432</v>
      </c>
      <c r="G2" s="142" t="s">
        <v>482</v>
      </c>
      <c r="H2" s="142" t="s">
        <v>48</v>
      </c>
      <c r="I2" s="16" t="s">
        <v>417</v>
      </c>
      <c r="J2" s="16"/>
      <c r="K2" s="16" t="s">
        <v>1433</v>
      </c>
      <c r="L2" s="16"/>
      <c r="M2" s="16"/>
      <c r="N2" s="16"/>
      <c r="O2" s="16"/>
      <c r="P2" s="16"/>
      <c r="Q2" s="143"/>
      <c r="R2" s="143"/>
    </row>
    <row r="3" spans="1:26" ht="39.75" customHeight="1" x14ac:dyDescent="0.25">
      <c r="A3" s="16"/>
      <c r="B3" s="141">
        <v>52</v>
      </c>
      <c r="C3" s="16">
        <v>2018</v>
      </c>
      <c r="D3" s="141" t="s">
        <v>1434</v>
      </c>
      <c r="E3" s="142" t="s">
        <v>1435</v>
      </c>
      <c r="F3" s="142" t="s">
        <v>1436</v>
      </c>
      <c r="G3" s="142" t="s">
        <v>482</v>
      </c>
      <c r="H3" s="142" t="s">
        <v>1437</v>
      </c>
      <c r="I3" s="144" t="s">
        <v>1323</v>
      </c>
      <c r="J3" s="16" t="s">
        <v>1329</v>
      </c>
      <c r="K3" s="16" t="s">
        <v>1438</v>
      </c>
      <c r="L3" s="16"/>
      <c r="M3" s="19">
        <v>43916</v>
      </c>
      <c r="N3" s="19"/>
      <c r="O3" s="19"/>
      <c r="P3" s="16"/>
      <c r="Q3" s="143"/>
      <c r="R3" s="143"/>
    </row>
    <row r="4" spans="1:26" ht="39.75" customHeight="1" x14ac:dyDescent="0.25">
      <c r="A4" s="16"/>
      <c r="B4" s="141">
        <v>26186</v>
      </c>
      <c r="C4" s="16">
        <v>2018</v>
      </c>
      <c r="D4" s="141" t="s">
        <v>1439</v>
      </c>
      <c r="E4" s="142" t="s">
        <v>1440</v>
      </c>
      <c r="F4" s="142" t="s">
        <v>1441</v>
      </c>
      <c r="G4" s="142" t="s">
        <v>1442</v>
      </c>
      <c r="H4" s="142" t="s">
        <v>1443</v>
      </c>
      <c r="I4" s="16" t="s">
        <v>1323</v>
      </c>
      <c r="J4" s="16" t="s">
        <v>1138</v>
      </c>
      <c r="K4" s="16" t="s">
        <v>1444</v>
      </c>
      <c r="L4" s="16"/>
      <c r="M4" s="16"/>
      <c r="N4" s="16"/>
      <c r="O4" s="16"/>
      <c r="P4" s="16"/>
      <c r="Q4" s="143"/>
      <c r="R4" s="143"/>
    </row>
    <row r="5" spans="1:26" ht="39.75" customHeight="1" x14ac:dyDescent="0.25">
      <c r="A5" s="16"/>
      <c r="B5" s="141">
        <v>26193</v>
      </c>
      <c r="C5" s="16">
        <v>2018</v>
      </c>
      <c r="D5" s="141" t="s">
        <v>1439</v>
      </c>
      <c r="E5" s="142" t="s">
        <v>1445</v>
      </c>
      <c r="F5" s="142" t="s">
        <v>1446</v>
      </c>
      <c r="G5" s="142" t="s">
        <v>1442</v>
      </c>
      <c r="H5" s="142" t="s">
        <v>1443</v>
      </c>
      <c r="I5" s="16" t="s">
        <v>1323</v>
      </c>
      <c r="J5" s="16" t="s">
        <v>1134</v>
      </c>
      <c r="K5" s="16" t="s">
        <v>1447</v>
      </c>
      <c r="L5" s="16"/>
      <c r="M5" s="16"/>
      <c r="N5" s="16"/>
      <c r="O5" s="16"/>
      <c r="P5" s="16"/>
      <c r="Q5" s="143"/>
      <c r="R5" s="143"/>
    </row>
    <row r="6" spans="1:26" ht="39.75" customHeight="1" x14ac:dyDescent="0.25">
      <c r="A6" s="16"/>
      <c r="B6" s="141">
        <v>2732</v>
      </c>
      <c r="C6" s="16">
        <v>2017</v>
      </c>
      <c r="D6" s="141" t="s">
        <v>1448</v>
      </c>
      <c r="E6" s="142" t="s">
        <v>1449</v>
      </c>
      <c r="F6" s="142" t="s">
        <v>1450</v>
      </c>
      <c r="G6" s="142" t="s">
        <v>402</v>
      </c>
      <c r="H6" s="142" t="s">
        <v>1451</v>
      </c>
      <c r="I6" s="16" t="s">
        <v>417</v>
      </c>
      <c r="J6" s="16" t="s">
        <v>19</v>
      </c>
      <c r="K6" s="16" t="s">
        <v>1452</v>
      </c>
      <c r="L6" s="16"/>
      <c r="M6" s="19">
        <v>44271</v>
      </c>
      <c r="N6" s="19"/>
      <c r="O6" s="19"/>
      <c r="P6" s="16"/>
      <c r="Q6" s="143"/>
      <c r="R6" s="143"/>
    </row>
    <row r="7" spans="1:26" ht="39.75" customHeight="1" x14ac:dyDescent="0.25">
      <c r="A7" s="16"/>
      <c r="B7" s="141">
        <v>13</v>
      </c>
      <c r="C7" s="16">
        <v>2013</v>
      </c>
      <c r="D7" s="141" t="s">
        <v>1448</v>
      </c>
      <c r="E7" s="142" t="s">
        <v>1453</v>
      </c>
      <c r="F7" s="142" t="s">
        <v>1450</v>
      </c>
      <c r="G7" s="142" t="s">
        <v>402</v>
      </c>
      <c r="H7" s="142" t="s">
        <v>1451</v>
      </c>
      <c r="I7" s="16" t="s">
        <v>417</v>
      </c>
      <c r="J7" s="16" t="s">
        <v>19</v>
      </c>
      <c r="K7" s="16" t="s">
        <v>1454</v>
      </c>
      <c r="L7" s="16"/>
      <c r="M7" s="19">
        <v>44255</v>
      </c>
      <c r="N7" s="19"/>
      <c r="O7" s="19"/>
      <c r="P7" s="16"/>
      <c r="Q7" s="143"/>
      <c r="R7" s="143"/>
    </row>
    <row r="8" spans="1:26" ht="39.75" customHeight="1" x14ac:dyDescent="0.25">
      <c r="A8" s="16"/>
      <c r="B8" s="141">
        <v>11063</v>
      </c>
      <c r="C8" s="16">
        <v>2019</v>
      </c>
      <c r="D8" s="141" t="s">
        <v>1455</v>
      </c>
      <c r="E8" s="142" t="s">
        <v>1456</v>
      </c>
      <c r="F8" s="142" t="s">
        <v>1441</v>
      </c>
      <c r="G8" s="142" t="s">
        <v>402</v>
      </c>
      <c r="H8" s="142" t="s">
        <v>1457</v>
      </c>
      <c r="I8" s="16" t="s">
        <v>417</v>
      </c>
      <c r="J8" s="16" t="s">
        <v>19</v>
      </c>
      <c r="K8" s="16" t="s">
        <v>1452</v>
      </c>
      <c r="L8" s="16" t="s">
        <v>181</v>
      </c>
      <c r="M8" s="19">
        <v>45114</v>
      </c>
      <c r="N8" s="19">
        <v>44992</v>
      </c>
      <c r="O8" s="19"/>
      <c r="P8" s="16"/>
      <c r="Q8" s="143"/>
      <c r="R8" s="143"/>
    </row>
    <row r="9" spans="1:26" ht="39.75" customHeight="1" x14ac:dyDescent="0.25">
      <c r="A9" s="16"/>
      <c r="B9" s="141">
        <v>31749</v>
      </c>
      <c r="C9" s="16">
        <v>2019</v>
      </c>
      <c r="D9" s="141" t="s">
        <v>1458</v>
      </c>
      <c r="E9" s="142" t="s">
        <v>1456</v>
      </c>
      <c r="F9" s="142" t="s">
        <v>1441</v>
      </c>
      <c r="G9" s="142" t="s">
        <v>402</v>
      </c>
      <c r="H9" s="142" t="s">
        <v>1459</v>
      </c>
      <c r="I9" s="16" t="s">
        <v>417</v>
      </c>
      <c r="J9" s="16" t="s">
        <v>19</v>
      </c>
      <c r="K9" s="16" t="s">
        <v>1452</v>
      </c>
      <c r="L9" s="16"/>
      <c r="M9" s="19"/>
      <c r="N9" s="19"/>
      <c r="O9" s="19"/>
      <c r="P9" s="16"/>
      <c r="Q9" s="143"/>
      <c r="R9" s="143"/>
    </row>
    <row r="10" spans="1:26" ht="39.75" customHeight="1" x14ac:dyDescent="0.25">
      <c r="A10" s="16"/>
      <c r="B10" s="145">
        <v>850676</v>
      </c>
      <c r="C10" s="16">
        <v>2010</v>
      </c>
      <c r="D10" s="141" t="s">
        <v>1460</v>
      </c>
      <c r="E10" s="142" t="s">
        <v>1461</v>
      </c>
      <c r="F10" s="142" t="s">
        <v>1462</v>
      </c>
      <c r="G10" s="142" t="s">
        <v>193</v>
      </c>
      <c r="H10" s="142" t="s">
        <v>48</v>
      </c>
      <c r="I10" s="16" t="s">
        <v>1323</v>
      </c>
      <c r="J10" s="16" t="s">
        <v>1289</v>
      </c>
      <c r="K10" s="16"/>
      <c r="L10" s="16"/>
      <c r="M10" s="19">
        <v>44057</v>
      </c>
      <c r="N10" s="19"/>
      <c r="O10" s="19"/>
      <c r="P10" s="16"/>
      <c r="Q10" s="143"/>
      <c r="R10" s="143"/>
    </row>
    <row r="11" spans="1:26" ht="39.75" customHeight="1" x14ac:dyDescent="0.25">
      <c r="A11" s="16"/>
      <c r="B11" s="141">
        <v>67</v>
      </c>
      <c r="C11" s="16">
        <v>2016</v>
      </c>
      <c r="D11" s="141" t="s">
        <v>1463</v>
      </c>
      <c r="E11" s="142" t="s">
        <v>1464</v>
      </c>
      <c r="F11" s="142" t="s">
        <v>1465</v>
      </c>
      <c r="G11" s="142" t="s">
        <v>193</v>
      </c>
      <c r="H11" s="142" t="s">
        <v>1466</v>
      </c>
      <c r="I11" s="16" t="s">
        <v>417</v>
      </c>
      <c r="J11" s="16" t="s">
        <v>19</v>
      </c>
      <c r="K11" s="16" t="s">
        <v>1467</v>
      </c>
      <c r="L11" s="16"/>
      <c r="M11" s="19">
        <v>44705</v>
      </c>
      <c r="N11" s="19"/>
      <c r="O11" s="19"/>
      <c r="P11" s="16"/>
      <c r="Q11" s="143"/>
      <c r="R11" s="143"/>
    </row>
    <row r="12" spans="1:26" ht="39.75" customHeight="1" x14ac:dyDescent="0.25">
      <c r="A12" s="16"/>
      <c r="B12" s="141">
        <v>59</v>
      </c>
      <c r="C12" s="16">
        <v>2016</v>
      </c>
      <c r="D12" s="141" t="s">
        <v>1468</v>
      </c>
      <c r="E12" s="142" t="s">
        <v>1464</v>
      </c>
      <c r="F12" s="142" t="s">
        <v>1465</v>
      </c>
      <c r="G12" s="142" t="s">
        <v>193</v>
      </c>
      <c r="H12" s="142" t="s">
        <v>1469</v>
      </c>
      <c r="I12" s="16" t="s">
        <v>417</v>
      </c>
      <c r="J12" s="16" t="s">
        <v>19</v>
      </c>
      <c r="K12" s="16" t="s">
        <v>873</v>
      </c>
      <c r="L12" s="16"/>
      <c r="M12" s="19">
        <v>43792</v>
      </c>
      <c r="N12" s="19"/>
      <c r="O12" s="19"/>
      <c r="P12" s="16"/>
      <c r="Q12" s="143"/>
      <c r="R12" s="143"/>
    </row>
    <row r="13" spans="1:26" ht="39.75" customHeight="1" x14ac:dyDescent="0.25">
      <c r="A13" s="16"/>
      <c r="B13" s="141">
        <v>26</v>
      </c>
      <c r="C13" s="16">
        <v>2016</v>
      </c>
      <c r="D13" s="141" t="s">
        <v>1460</v>
      </c>
      <c r="E13" s="142" t="s">
        <v>1461</v>
      </c>
      <c r="F13" s="142" t="s">
        <v>1462</v>
      </c>
      <c r="G13" s="142" t="s">
        <v>193</v>
      </c>
      <c r="H13" s="142" t="s">
        <v>48</v>
      </c>
      <c r="I13" s="16" t="s">
        <v>417</v>
      </c>
      <c r="J13" s="16" t="s">
        <v>1470</v>
      </c>
      <c r="K13" s="16"/>
      <c r="L13" s="16"/>
      <c r="M13" s="16"/>
      <c r="N13" s="16"/>
      <c r="O13" s="16"/>
      <c r="P13" s="16"/>
      <c r="Q13" s="143"/>
      <c r="R13" s="143"/>
    </row>
    <row r="14" spans="1:26" ht="39.75" customHeight="1" x14ac:dyDescent="0.25">
      <c r="A14" s="16"/>
      <c r="B14" s="141">
        <v>26</v>
      </c>
      <c r="C14" s="16">
        <v>2016</v>
      </c>
      <c r="D14" s="141" t="s">
        <v>1460</v>
      </c>
      <c r="E14" s="142" t="s">
        <v>1461</v>
      </c>
      <c r="F14" s="142" t="s">
        <v>1462</v>
      </c>
      <c r="G14" s="142" t="s">
        <v>193</v>
      </c>
      <c r="H14" s="142" t="s">
        <v>48</v>
      </c>
      <c r="I14" s="16" t="s">
        <v>417</v>
      </c>
      <c r="J14" s="16" t="s">
        <v>1471</v>
      </c>
      <c r="K14" s="16"/>
      <c r="L14" s="16"/>
      <c r="M14" s="19">
        <v>45412</v>
      </c>
      <c r="N14" s="19"/>
      <c r="O14" s="19"/>
      <c r="P14" s="16"/>
      <c r="Q14" s="143"/>
      <c r="R14" s="143"/>
    </row>
    <row r="15" spans="1:26" ht="39.75" customHeight="1" x14ac:dyDescent="0.25">
      <c r="A15" s="16"/>
      <c r="B15" s="141">
        <v>4187</v>
      </c>
      <c r="C15" s="16">
        <v>2018</v>
      </c>
      <c r="D15" s="141" t="s">
        <v>1472</v>
      </c>
      <c r="E15" s="142" t="s">
        <v>1473</v>
      </c>
      <c r="F15" s="142" t="s">
        <v>1474</v>
      </c>
      <c r="G15" s="142" t="s">
        <v>1475</v>
      </c>
      <c r="H15" s="142" t="s">
        <v>17</v>
      </c>
      <c r="I15" s="16" t="s">
        <v>18</v>
      </c>
      <c r="J15" s="16" t="s">
        <v>19</v>
      </c>
      <c r="K15" s="16" t="s">
        <v>1476</v>
      </c>
      <c r="L15" s="16"/>
      <c r="M15" s="146"/>
      <c r="N15" s="19"/>
      <c r="O15" s="19"/>
      <c r="P15" s="16"/>
      <c r="Q15" s="143"/>
      <c r="R15" s="143"/>
    </row>
    <row r="16" spans="1:26" ht="39.75" customHeight="1" x14ac:dyDescent="0.25">
      <c r="A16" s="16"/>
      <c r="B16" s="141">
        <v>3688</v>
      </c>
      <c r="C16" s="16">
        <v>2016</v>
      </c>
      <c r="D16" s="141" t="s">
        <v>1477</v>
      </c>
      <c r="E16" s="142" t="s">
        <v>1478</v>
      </c>
      <c r="F16" s="142" t="s">
        <v>1479</v>
      </c>
      <c r="G16" s="142" t="s">
        <v>1475</v>
      </c>
      <c r="H16" s="142" t="s">
        <v>17</v>
      </c>
      <c r="I16" s="16" t="s">
        <v>18</v>
      </c>
      <c r="J16" s="16" t="s">
        <v>19</v>
      </c>
      <c r="K16" s="16" t="s">
        <v>1480</v>
      </c>
      <c r="L16" s="16"/>
      <c r="M16" s="19">
        <v>44441</v>
      </c>
      <c r="N16" s="19"/>
      <c r="O16" s="19"/>
      <c r="P16" s="16"/>
      <c r="Q16" s="143"/>
      <c r="R16" s="143"/>
    </row>
    <row r="17" spans="1:18" ht="39.75" customHeight="1" x14ac:dyDescent="0.25">
      <c r="A17" s="16"/>
      <c r="B17" s="141">
        <v>3849</v>
      </c>
      <c r="C17" s="16">
        <v>2017</v>
      </c>
      <c r="D17" s="141" t="s">
        <v>1481</v>
      </c>
      <c r="E17" s="142" t="s">
        <v>1482</v>
      </c>
      <c r="F17" s="142" t="s">
        <v>1483</v>
      </c>
      <c r="G17" s="142" t="s">
        <v>1475</v>
      </c>
      <c r="H17" s="142" t="s">
        <v>17</v>
      </c>
      <c r="I17" s="16" t="s">
        <v>18</v>
      </c>
      <c r="J17" s="16" t="s">
        <v>19</v>
      </c>
      <c r="K17" s="16" t="s">
        <v>1484</v>
      </c>
      <c r="L17" s="16"/>
      <c r="M17" s="19">
        <v>43919</v>
      </c>
      <c r="N17" s="19"/>
      <c r="O17" s="19"/>
      <c r="P17" s="16"/>
      <c r="Q17" s="143"/>
      <c r="R17" s="143"/>
    </row>
    <row r="18" spans="1:18" ht="39.75" customHeight="1" x14ac:dyDescent="0.25">
      <c r="A18" s="16"/>
      <c r="B18" s="141">
        <v>15382</v>
      </c>
      <c r="C18" s="16">
        <v>2016</v>
      </c>
      <c r="D18" s="141" t="s">
        <v>1485</v>
      </c>
      <c r="E18" s="142" t="s">
        <v>1486</v>
      </c>
      <c r="F18" s="142" t="s">
        <v>1487</v>
      </c>
      <c r="G18" s="142" t="s">
        <v>1475</v>
      </c>
      <c r="H18" s="142" t="s">
        <v>1488</v>
      </c>
      <c r="I18" s="16" t="s">
        <v>1323</v>
      </c>
      <c r="J18" s="16" t="s">
        <v>1134</v>
      </c>
      <c r="K18" s="16" t="s">
        <v>1489</v>
      </c>
      <c r="L18" s="16"/>
      <c r="M18" s="19">
        <v>44569</v>
      </c>
      <c r="N18" s="19">
        <v>44447</v>
      </c>
      <c r="O18" s="19"/>
      <c r="P18" s="16"/>
      <c r="Q18" s="143"/>
      <c r="R18" s="143"/>
    </row>
    <row r="19" spans="1:18" ht="39.75" customHeight="1" x14ac:dyDescent="0.25">
      <c r="A19" s="16"/>
      <c r="B19" s="141">
        <v>1693</v>
      </c>
      <c r="C19" s="16">
        <v>2009</v>
      </c>
      <c r="D19" s="141" t="s">
        <v>1490</v>
      </c>
      <c r="E19" s="142" t="s">
        <v>1491</v>
      </c>
      <c r="F19" s="142" t="s">
        <v>1492</v>
      </c>
      <c r="G19" s="142" t="s">
        <v>1475</v>
      </c>
      <c r="H19" s="142" t="s">
        <v>1493</v>
      </c>
      <c r="I19" s="16" t="s">
        <v>1323</v>
      </c>
      <c r="J19" s="16" t="s">
        <v>1134</v>
      </c>
      <c r="K19" s="16" t="s">
        <v>1494</v>
      </c>
      <c r="L19" s="16" t="s">
        <v>181</v>
      </c>
      <c r="M19" s="19">
        <v>44642</v>
      </c>
      <c r="N19" s="19">
        <v>44522</v>
      </c>
      <c r="O19" s="16"/>
      <c r="P19" s="16"/>
      <c r="Q19" s="143"/>
      <c r="R19" s="143"/>
    </row>
    <row r="20" spans="1:18" ht="39.75" customHeight="1" x14ac:dyDescent="0.25">
      <c r="A20" s="16"/>
      <c r="B20" s="141">
        <v>2626</v>
      </c>
      <c r="C20" s="16">
        <v>2018</v>
      </c>
      <c r="D20" s="141" t="s">
        <v>1495</v>
      </c>
      <c r="E20" s="142" t="s">
        <v>1496</v>
      </c>
      <c r="F20" s="142" t="s">
        <v>1441</v>
      </c>
      <c r="G20" s="142" t="s">
        <v>1475</v>
      </c>
      <c r="H20" s="142" t="s">
        <v>544</v>
      </c>
      <c r="I20" s="16" t="s">
        <v>1323</v>
      </c>
      <c r="J20" s="16" t="s">
        <v>1134</v>
      </c>
      <c r="K20" s="16" t="s">
        <v>1497</v>
      </c>
      <c r="L20" s="16"/>
      <c r="M20" s="19">
        <v>45280</v>
      </c>
      <c r="N20" s="19">
        <v>44732</v>
      </c>
      <c r="O20" s="19"/>
      <c r="P20" s="16"/>
      <c r="Q20" s="143"/>
      <c r="R20" s="143"/>
    </row>
    <row r="21" spans="1:18" ht="39.75" customHeight="1" x14ac:dyDescent="0.25">
      <c r="A21" s="16"/>
      <c r="B21" s="141">
        <v>3050</v>
      </c>
      <c r="C21" s="16">
        <v>2014</v>
      </c>
      <c r="D21" s="141" t="s">
        <v>1498</v>
      </c>
      <c r="E21" s="142" t="s">
        <v>1499</v>
      </c>
      <c r="F21" s="142" t="s">
        <v>1500</v>
      </c>
      <c r="G21" s="142" t="s">
        <v>1475</v>
      </c>
      <c r="H21" s="142" t="s">
        <v>63</v>
      </c>
      <c r="I21" s="16" t="s">
        <v>417</v>
      </c>
      <c r="J21" s="16" t="s">
        <v>19</v>
      </c>
      <c r="K21" s="16" t="s">
        <v>1501</v>
      </c>
      <c r="L21" s="16"/>
      <c r="M21" s="19">
        <v>44047</v>
      </c>
      <c r="N21" s="19">
        <v>43925</v>
      </c>
      <c r="O21" s="19"/>
      <c r="P21" s="16"/>
      <c r="Q21" s="143"/>
      <c r="R21" s="143"/>
    </row>
    <row r="22" spans="1:18" ht="39.75" customHeight="1" x14ac:dyDescent="0.25">
      <c r="A22" s="16"/>
      <c r="B22" s="141">
        <v>3818</v>
      </c>
      <c r="C22" s="16">
        <v>2017</v>
      </c>
      <c r="D22" s="141" t="s">
        <v>1502</v>
      </c>
      <c r="E22" s="142" t="s">
        <v>1499</v>
      </c>
      <c r="F22" s="142" t="s">
        <v>1500</v>
      </c>
      <c r="G22" s="142" t="s">
        <v>1475</v>
      </c>
      <c r="H22" s="142" t="s">
        <v>1503</v>
      </c>
      <c r="I22" s="16" t="s">
        <v>417</v>
      </c>
      <c r="J22" s="16" t="s">
        <v>19</v>
      </c>
      <c r="K22" s="16" t="s">
        <v>1501</v>
      </c>
      <c r="L22" s="16"/>
      <c r="M22" s="19">
        <v>43230</v>
      </c>
      <c r="N22" s="19">
        <v>43110</v>
      </c>
      <c r="O22" s="19"/>
      <c r="P22" s="16"/>
      <c r="Q22" s="143"/>
      <c r="R22" s="143"/>
    </row>
    <row r="23" spans="1:18" ht="39.75" customHeight="1" x14ac:dyDescent="0.25">
      <c r="A23" s="16"/>
      <c r="B23" s="141">
        <v>3245</v>
      </c>
      <c r="C23" s="16">
        <v>2015</v>
      </c>
      <c r="D23" s="141" t="s">
        <v>1037</v>
      </c>
      <c r="E23" s="142" t="s">
        <v>1504</v>
      </c>
      <c r="F23" s="142" t="s">
        <v>1441</v>
      </c>
      <c r="G23" s="142" t="s">
        <v>1475</v>
      </c>
      <c r="H23" s="142" t="s">
        <v>1505</v>
      </c>
      <c r="I23" s="16" t="s">
        <v>417</v>
      </c>
      <c r="J23" s="16" t="s">
        <v>19</v>
      </c>
      <c r="K23" s="16" t="s">
        <v>873</v>
      </c>
      <c r="L23" s="16"/>
      <c r="M23" s="147">
        <v>44021</v>
      </c>
      <c r="N23" s="147">
        <v>43899</v>
      </c>
      <c r="O23" s="19"/>
      <c r="P23" s="16"/>
      <c r="Q23" s="143"/>
      <c r="R23" s="143"/>
    </row>
    <row r="24" spans="1:18" ht="39.75" customHeight="1" x14ac:dyDescent="0.25">
      <c r="A24" s="16"/>
      <c r="B24" s="145">
        <v>850460</v>
      </c>
      <c r="C24" s="16">
        <v>2017</v>
      </c>
      <c r="D24" s="141" t="s">
        <v>1037</v>
      </c>
      <c r="E24" s="142" t="s">
        <v>1504</v>
      </c>
      <c r="F24" s="142" t="s">
        <v>1441</v>
      </c>
      <c r="G24" s="142" t="s">
        <v>1475</v>
      </c>
      <c r="H24" s="142" t="s">
        <v>1505</v>
      </c>
      <c r="I24" s="16" t="s">
        <v>417</v>
      </c>
      <c r="J24" s="16" t="s">
        <v>1289</v>
      </c>
      <c r="K24" s="16" t="s">
        <v>873</v>
      </c>
      <c r="L24" s="16"/>
      <c r="M24" s="19">
        <v>43580</v>
      </c>
      <c r="N24" s="19">
        <v>43521</v>
      </c>
      <c r="O24" s="19"/>
      <c r="P24" s="16"/>
      <c r="Q24" s="143"/>
      <c r="R24" s="143"/>
    </row>
    <row r="25" spans="1:18" ht="39.75" customHeight="1" x14ac:dyDescent="0.25">
      <c r="A25" s="16"/>
      <c r="B25" s="141">
        <v>3245</v>
      </c>
      <c r="C25" s="16">
        <v>2015</v>
      </c>
      <c r="D25" s="141" t="s">
        <v>1037</v>
      </c>
      <c r="E25" s="142" t="s">
        <v>1504</v>
      </c>
      <c r="F25" s="142" t="s">
        <v>1506</v>
      </c>
      <c r="G25" s="142" t="s">
        <v>1475</v>
      </c>
      <c r="H25" s="142" t="s">
        <v>1505</v>
      </c>
      <c r="I25" s="16" t="s">
        <v>417</v>
      </c>
      <c r="J25" s="16" t="s">
        <v>1507</v>
      </c>
      <c r="K25" s="16" t="s">
        <v>873</v>
      </c>
      <c r="L25" s="16"/>
      <c r="M25" s="19">
        <v>44301</v>
      </c>
      <c r="N25" s="19">
        <v>44180</v>
      </c>
      <c r="O25" s="19"/>
      <c r="P25" s="16"/>
      <c r="Q25" s="143"/>
      <c r="R25" s="143"/>
    </row>
    <row r="26" spans="1:18" ht="39.75" customHeight="1" x14ac:dyDescent="0.25">
      <c r="A26" s="16"/>
      <c r="B26" s="141">
        <v>3398</v>
      </c>
      <c r="C26" s="16">
        <v>2015</v>
      </c>
      <c r="D26" s="141"/>
      <c r="E26" s="142" t="s">
        <v>1504</v>
      </c>
      <c r="F26" s="142"/>
      <c r="G26" s="142" t="s">
        <v>1475</v>
      </c>
      <c r="H26" s="142"/>
      <c r="I26" s="16"/>
      <c r="J26" s="16"/>
      <c r="K26" s="16" t="s">
        <v>873</v>
      </c>
      <c r="L26" s="16"/>
      <c r="M26" s="16" t="s">
        <v>1508</v>
      </c>
      <c r="N26" s="16"/>
      <c r="O26" s="16"/>
      <c r="P26" s="16" t="s">
        <v>1509</v>
      </c>
      <c r="Q26" s="143"/>
      <c r="R26" s="143"/>
    </row>
    <row r="27" spans="1:18" ht="39.75" customHeight="1" x14ac:dyDescent="0.25">
      <c r="A27" s="16"/>
      <c r="B27" s="141">
        <v>43118</v>
      </c>
      <c r="C27" s="16">
        <v>2017</v>
      </c>
      <c r="D27" s="141" t="s">
        <v>1510</v>
      </c>
      <c r="E27" s="142" t="s">
        <v>1511</v>
      </c>
      <c r="F27" s="142" t="s">
        <v>1512</v>
      </c>
      <c r="G27" s="142" t="s">
        <v>1475</v>
      </c>
      <c r="H27" s="142" t="s">
        <v>407</v>
      </c>
      <c r="I27" s="16" t="s">
        <v>417</v>
      </c>
      <c r="J27" s="16" t="s">
        <v>19</v>
      </c>
      <c r="K27" s="16" t="s">
        <v>1452</v>
      </c>
      <c r="L27" s="16"/>
      <c r="M27" s="19">
        <v>44974</v>
      </c>
      <c r="N27" s="19">
        <v>44851</v>
      </c>
      <c r="O27" s="19"/>
      <c r="P27" s="16"/>
      <c r="Q27" s="143"/>
      <c r="R27" s="143"/>
    </row>
    <row r="28" spans="1:18" ht="39.75" customHeight="1" x14ac:dyDescent="0.25">
      <c r="A28" s="16"/>
      <c r="B28" s="141">
        <v>31726</v>
      </c>
      <c r="C28" s="16">
        <v>2016</v>
      </c>
      <c r="D28" s="141" t="s">
        <v>1513</v>
      </c>
      <c r="E28" s="142" t="s">
        <v>1514</v>
      </c>
      <c r="F28" s="142" t="s">
        <v>1515</v>
      </c>
      <c r="G28" s="142" t="s">
        <v>1475</v>
      </c>
      <c r="H28" s="142" t="s">
        <v>17</v>
      </c>
      <c r="I28" s="16" t="s">
        <v>417</v>
      </c>
      <c r="J28" s="16" t="s">
        <v>19</v>
      </c>
      <c r="K28" s="16" t="s">
        <v>1452</v>
      </c>
      <c r="L28" s="16"/>
      <c r="M28" s="19">
        <v>44165</v>
      </c>
      <c r="N28" s="19"/>
      <c r="O28" s="19"/>
      <c r="P28" s="16"/>
      <c r="Q28" s="143"/>
      <c r="R28" s="143"/>
    </row>
    <row r="29" spans="1:18" ht="39.75" customHeight="1" x14ac:dyDescent="0.25">
      <c r="A29" s="16"/>
      <c r="B29" s="141">
        <v>2084</v>
      </c>
      <c r="C29" s="16">
        <v>2011</v>
      </c>
      <c r="D29" s="141" t="s">
        <v>1516</v>
      </c>
      <c r="E29" s="142" t="s">
        <v>1517</v>
      </c>
      <c r="F29" s="142" t="s">
        <v>1441</v>
      </c>
      <c r="G29" s="142" t="s">
        <v>1475</v>
      </c>
      <c r="H29" s="142" t="s">
        <v>1493</v>
      </c>
      <c r="I29" s="16" t="s">
        <v>417</v>
      </c>
      <c r="J29" s="16" t="s">
        <v>19</v>
      </c>
      <c r="K29" s="16" t="s">
        <v>1454</v>
      </c>
      <c r="L29" s="16"/>
      <c r="M29" s="16"/>
      <c r="N29" s="16"/>
      <c r="O29" s="16"/>
      <c r="P29" s="16"/>
      <c r="Q29" s="143"/>
      <c r="R29" s="143"/>
    </row>
    <row r="30" spans="1:18" ht="39.75" customHeight="1" x14ac:dyDescent="0.25">
      <c r="A30" s="16"/>
      <c r="B30" s="141">
        <v>3097</v>
      </c>
      <c r="C30" s="16">
        <v>2014</v>
      </c>
      <c r="D30" s="141" t="s">
        <v>919</v>
      </c>
      <c r="E30" s="142" t="s">
        <v>1518</v>
      </c>
      <c r="F30" s="142" t="s">
        <v>1519</v>
      </c>
      <c r="G30" s="142" t="s">
        <v>1475</v>
      </c>
      <c r="H30" s="142" t="s">
        <v>921</v>
      </c>
      <c r="I30" s="16" t="s">
        <v>417</v>
      </c>
      <c r="J30" s="16" t="s">
        <v>19</v>
      </c>
      <c r="K30" s="16" t="s">
        <v>1454</v>
      </c>
      <c r="L30" s="16"/>
      <c r="M30" s="19">
        <v>43402</v>
      </c>
      <c r="N30" s="19"/>
      <c r="O30" s="19"/>
      <c r="P30" s="16"/>
      <c r="Q30" s="143"/>
      <c r="R30" s="143"/>
    </row>
    <row r="31" spans="1:18" ht="39.75" customHeight="1" x14ac:dyDescent="0.25">
      <c r="A31" s="16"/>
      <c r="B31" s="141">
        <v>19364</v>
      </c>
      <c r="C31" s="16">
        <v>2017</v>
      </c>
      <c r="D31" s="141" t="s">
        <v>1520</v>
      </c>
      <c r="E31" s="142" t="s">
        <v>1518</v>
      </c>
      <c r="F31" s="142" t="s">
        <v>1519</v>
      </c>
      <c r="G31" s="142" t="s">
        <v>1475</v>
      </c>
      <c r="H31" s="142" t="s">
        <v>921</v>
      </c>
      <c r="I31" s="16" t="s">
        <v>417</v>
      </c>
      <c r="J31" s="16" t="s">
        <v>1521</v>
      </c>
      <c r="K31" s="16" t="s">
        <v>1454</v>
      </c>
      <c r="L31" s="16"/>
      <c r="M31" s="19"/>
      <c r="N31" s="19"/>
      <c r="O31" s="19"/>
      <c r="P31" s="16"/>
      <c r="Q31" s="143"/>
      <c r="R31" s="143"/>
    </row>
    <row r="32" spans="1:18" ht="39.75" customHeight="1" x14ac:dyDescent="0.25">
      <c r="A32" s="16"/>
      <c r="B32" s="141">
        <v>2225</v>
      </c>
      <c r="C32" s="16">
        <v>2012</v>
      </c>
      <c r="D32" s="141" t="s">
        <v>1522</v>
      </c>
      <c r="E32" s="142" t="s">
        <v>1523</v>
      </c>
      <c r="F32" s="142" t="s">
        <v>1524</v>
      </c>
      <c r="G32" s="142" t="s">
        <v>1475</v>
      </c>
      <c r="H32" s="142" t="s">
        <v>1525</v>
      </c>
      <c r="I32" s="16" t="s">
        <v>417</v>
      </c>
      <c r="J32" s="16" t="s">
        <v>19</v>
      </c>
      <c r="K32" s="16" t="s">
        <v>873</v>
      </c>
      <c r="L32" s="16"/>
      <c r="M32" s="19">
        <v>43308</v>
      </c>
      <c r="N32" s="19"/>
      <c r="O32" s="19"/>
      <c r="P32" s="16"/>
      <c r="Q32" s="143"/>
      <c r="R32" s="143"/>
    </row>
    <row r="33" spans="1:18" ht="39.75" customHeight="1" x14ac:dyDescent="0.25">
      <c r="A33" s="16"/>
      <c r="B33" s="141"/>
      <c r="C33" s="16"/>
      <c r="D33" s="141" t="s">
        <v>1522</v>
      </c>
      <c r="E33" s="142" t="s">
        <v>1523</v>
      </c>
      <c r="F33" s="142" t="s">
        <v>1524</v>
      </c>
      <c r="G33" s="142" t="s">
        <v>1475</v>
      </c>
      <c r="H33" s="142" t="s">
        <v>1525</v>
      </c>
      <c r="I33" s="16" t="s">
        <v>417</v>
      </c>
      <c r="J33" s="16" t="s">
        <v>1471</v>
      </c>
      <c r="K33" s="16" t="s">
        <v>873</v>
      </c>
      <c r="L33" s="16"/>
      <c r="M33" s="19"/>
      <c r="N33" s="19"/>
      <c r="O33" s="19"/>
      <c r="P33" s="16"/>
      <c r="Q33" s="143"/>
      <c r="R33" s="143"/>
    </row>
    <row r="34" spans="1:18" ht="39.75" customHeight="1" x14ac:dyDescent="0.25">
      <c r="A34" s="16"/>
      <c r="B34" s="145">
        <v>850743</v>
      </c>
      <c r="C34" s="16">
        <v>2017</v>
      </c>
      <c r="D34" s="141" t="s">
        <v>1526</v>
      </c>
      <c r="E34" s="142" t="s">
        <v>1523</v>
      </c>
      <c r="F34" s="142" t="s">
        <v>1524</v>
      </c>
      <c r="G34" s="142" t="s">
        <v>1475</v>
      </c>
      <c r="H34" s="142" t="s">
        <v>1525</v>
      </c>
      <c r="I34" s="16" t="s">
        <v>417</v>
      </c>
      <c r="J34" s="16" t="s">
        <v>1527</v>
      </c>
      <c r="K34" s="16" t="s">
        <v>873</v>
      </c>
      <c r="L34" s="16"/>
      <c r="M34" s="19"/>
      <c r="N34" s="19"/>
      <c r="O34" s="19"/>
      <c r="P34" s="16"/>
      <c r="Q34" s="143"/>
      <c r="R34" s="143"/>
    </row>
    <row r="35" spans="1:18" ht="39.75" customHeight="1" x14ac:dyDescent="0.25">
      <c r="A35" s="16"/>
      <c r="B35" s="141">
        <v>3421</v>
      </c>
      <c r="C35" s="16">
        <v>2015</v>
      </c>
      <c r="D35" s="141" t="s">
        <v>1528</v>
      </c>
      <c r="E35" s="142" t="s">
        <v>1529</v>
      </c>
      <c r="F35" s="142" t="s">
        <v>1530</v>
      </c>
      <c r="G35" s="142" t="s">
        <v>1475</v>
      </c>
      <c r="H35" s="142" t="s">
        <v>17</v>
      </c>
      <c r="I35" s="16" t="s">
        <v>417</v>
      </c>
      <c r="J35" s="16" t="s">
        <v>19</v>
      </c>
      <c r="K35" s="16" t="s">
        <v>1501</v>
      </c>
      <c r="L35" s="16"/>
      <c r="M35" s="19">
        <v>43727</v>
      </c>
      <c r="N35" s="19">
        <v>43604</v>
      </c>
      <c r="O35" s="19"/>
      <c r="P35" s="16"/>
      <c r="Q35" s="143"/>
      <c r="R35" s="143"/>
    </row>
    <row r="36" spans="1:18" ht="39.75" customHeight="1" x14ac:dyDescent="0.25">
      <c r="A36" s="16"/>
      <c r="B36" s="141">
        <v>3871</v>
      </c>
      <c r="C36" s="16">
        <v>2017</v>
      </c>
      <c r="D36" s="141" t="s">
        <v>609</v>
      </c>
      <c r="E36" s="142" t="s">
        <v>1531</v>
      </c>
      <c r="F36" s="142" t="s">
        <v>1532</v>
      </c>
      <c r="G36" s="142" t="s">
        <v>1475</v>
      </c>
      <c r="H36" s="142" t="s">
        <v>1533</v>
      </c>
      <c r="I36" s="16" t="s">
        <v>417</v>
      </c>
      <c r="J36" s="16" t="s">
        <v>1534</v>
      </c>
      <c r="K36" s="16"/>
      <c r="L36" s="16"/>
      <c r="M36" s="19">
        <v>44002</v>
      </c>
      <c r="N36" s="19">
        <v>43881</v>
      </c>
      <c r="O36" s="19"/>
      <c r="P36" s="16"/>
      <c r="Q36" s="143"/>
      <c r="R36" s="143"/>
    </row>
    <row r="37" spans="1:18" ht="39.75" customHeight="1" x14ac:dyDescent="0.25">
      <c r="A37" s="16"/>
      <c r="B37" s="141">
        <v>13226</v>
      </c>
      <c r="C37" s="16">
        <v>2015</v>
      </c>
      <c r="D37" s="141" t="s">
        <v>1535</v>
      </c>
      <c r="E37" s="142" t="s">
        <v>1486</v>
      </c>
      <c r="F37" s="142" t="s">
        <v>1487</v>
      </c>
      <c r="G37" s="142" t="s">
        <v>1475</v>
      </c>
      <c r="H37" s="142" t="s">
        <v>1488</v>
      </c>
      <c r="I37" s="16" t="s">
        <v>417</v>
      </c>
      <c r="J37" s="16" t="s">
        <v>19</v>
      </c>
      <c r="K37" s="16" t="s">
        <v>1489</v>
      </c>
      <c r="L37" s="16"/>
      <c r="M37" s="19">
        <v>44269</v>
      </c>
      <c r="N37" s="19"/>
      <c r="O37" s="19"/>
      <c r="P37" s="16"/>
      <c r="Q37" s="143"/>
      <c r="R37" s="143"/>
    </row>
    <row r="38" spans="1:18" ht="39.75" customHeight="1" x14ac:dyDescent="0.25">
      <c r="A38" s="16"/>
      <c r="B38" s="141">
        <v>35196</v>
      </c>
      <c r="C38" s="16">
        <v>2017</v>
      </c>
      <c r="D38" s="141" t="s">
        <v>1536</v>
      </c>
      <c r="E38" s="142" t="s">
        <v>1537</v>
      </c>
      <c r="F38" s="142" t="s">
        <v>1538</v>
      </c>
      <c r="G38" s="142" t="s">
        <v>1475</v>
      </c>
      <c r="H38" s="142" t="s">
        <v>71</v>
      </c>
      <c r="I38" s="16" t="s">
        <v>417</v>
      </c>
      <c r="J38" s="16" t="s">
        <v>19</v>
      </c>
      <c r="K38" s="16" t="s">
        <v>1452</v>
      </c>
      <c r="L38" s="16" t="s">
        <v>181</v>
      </c>
      <c r="M38" s="19">
        <v>45151</v>
      </c>
      <c r="N38" s="19">
        <v>44664</v>
      </c>
      <c r="O38" s="19"/>
      <c r="P38" s="16"/>
      <c r="Q38" s="143"/>
      <c r="R38" s="143"/>
    </row>
    <row r="39" spans="1:18" ht="39.75" customHeight="1" x14ac:dyDescent="0.25">
      <c r="A39" s="16"/>
      <c r="B39" s="141">
        <v>32917</v>
      </c>
      <c r="C39" s="16">
        <v>2017</v>
      </c>
      <c r="D39" s="141" t="s">
        <v>1539</v>
      </c>
      <c r="E39" s="142" t="s">
        <v>1531</v>
      </c>
      <c r="F39" s="142" t="s">
        <v>1441</v>
      </c>
      <c r="G39" s="142" t="s">
        <v>1475</v>
      </c>
      <c r="H39" s="142" t="s">
        <v>1540</v>
      </c>
      <c r="I39" s="16" t="s">
        <v>417</v>
      </c>
      <c r="J39" s="16" t="s">
        <v>19</v>
      </c>
      <c r="K39" s="16" t="s">
        <v>1452</v>
      </c>
      <c r="L39" s="16"/>
      <c r="M39" s="19">
        <v>45218</v>
      </c>
      <c r="N39" s="19">
        <v>44731</v>
      </c>
      <c r="O39" s="19"/>
      <c r="P39" s="16"/>
      <c r="Q39" s="143"/>
      <c r="R39" s="143"/>
    </row>
    <row r="40" spans="1:18" ht="39.75" customHeight="1" x14ac:dyDescent="0.25">
      <c r="A40" s="16"/>
      <c r="B40" s="141">
        <v>11680</v>
      </c>
      <c r="C40" s="16">
        <v>2019</v>
      </c>
      <c r="D40" s="141" t="s">
        <v>1541</v>
      </c>
      <c r="E40" s="142" t="s">
        <v>1542</v>
      </c>
      <c r="F40" s="142" t="s">
        <v>1441</v>
      </c>
      <c r="G40" s="142" t="s">
        <v>1475</v>
      </c>
      <c r="H40" s="142" t="s">
        <v>659</v>
      </c>
      <c r="I40" s="16" t="s">
        <v>417</v>
      </c>
      <c r="J40" s="16" t="s">
        <v>19</v>
      </c>
      <c r="K40" s="16"/>
      <c r="L40" s="16"/>
      <c r="M40" s="16"/>
      <c r="N40" s="16"/>
      <c r="O40" s="16"/>
      <c r="P40" s="16"/>
      <c r="Q40" s="143"/>
      <c r="R40" s="143"/>
    </row>
    <row r="41" spans="1:18" ht="39.75" customHeight="1" x14ac:dyDescent="0.25">
      <c r="A41" s="16"/>
      <c r="B41" s="141">
        <v>11679</v>
      </c>
      <c r="C41" s="16">
        <v>2019</v>
      </c>
      <c r="D41" s="141" t="s">
        <v>1543</v>
      </c>
      <c r="E41" s="142" t="s">
        <v>1544</v>
      </c>
      <c r="F41" s="142" t="s">
        <v>1441</v>
      </c>
      <c r="G41" s="142" t="s">
        <v>1475</v>
      </c>
      <c r="H41" s="142" t="s">
        <v>659</v>
      </c>
      <c r="I41" s="16" t="s">
        <v>417</v>
      </c>
      <c r="J41" s="16" t="s">
        <v>19</v>
      </c>
      <c r="K41" s="16"/>
      <c r="L41" s="16"/>
      <c r="M41" s="16"/>
      <c r="N41" s="16"/>
      <c r="O41" s="16"/>
      <c r="P41" s="16"/>
      <c r="Q41" s="143"/>
      <c r="R41" s="143"/>
    </row>
    <row r="42" spans="1:18" ht="39.75" customHeight="1" x14ac:dyDescent="0.25">
      <c r="A42" s="16"/>
      <c r="B42" s="141">
        <v>2284</v>
      </c>
      <c r="C42" s="16">
        <v>2012</v>
      </c>
      <c r="D42" s="141" t="s">
        <v>1102</v>
      </c>
      <c r="E42" s="142" t="s">
        <v>1545</v>
      </c>
      <c r="F42" s="142" t="s">
        <v>1441</v>
      </c>
      <c r="G42" s="142" t="s">
        <v>1475</v>
      </c>
      <c r="H42" s="142" t="s">
        <v>1546</v>
      </c>
      <c r="I42" s="16" t="s">
        <v>417</v>
      </c>
      <c r="J42" s="16" t="s">
        <v>19</v>
      </c>
      <c r="K42" s="16"/>
      <c r="L42" s="16"/>
      <c r="M42" s="19">
        <v>42425</v>
      </c>
      <c r="N42" s="19"/>
      <c r="O42" s="19"/>
      <c r="P42" s="16"/>
      <c r="Q42" s="143"/>
      <c r="R42" s="143"/>
    </row>
    <row r="43" spans="1:18" ht="39.75" customHeight="1" x14ac:dyDescent="0.25">
      <c r="A43" s="16"/>
      <c r="B43" s="141">
        <v>2149</v>
      </c>
      <c r="C43" s="16">
        <v>2011</v>
      </c>
      <c r="D43" s="141" t="s">
        <v>1102</v>
      </c>
      <c r="E43" s="142" t="s">
        <v>1547</v>
      </c>
      <c r="F43" s="142" t="s">
        <v>1441</v>
      </c>
      <c r="G43" s="142" t="s">
        <v>1475</v>
      </c>
      <c r="H43" s="142" t="s">
        <v>1546</v>
      </c>
      <c r="I43" s="16" t="s">
        <v>417</v>
      </c>
      <c r="J43" s="16" t="s">
        <v>19</v>
      </c>
      <c r="K43" s="16"/>
      <c r="L43" s="16"/>
      <c r="M43" s="19">
        <v>42425</v>
      </c>
      <c r="N43" s="19"/>
      <c r="O43" s="19"/>
      <c r="P43" s="16"/>
      <c r="Q43" s="143"/>
      <c r="R43" s="143"/>
    </row>
    <row r="44" spans="1:18" ht="39.75" customHeight="1" x14ac:dyDescent="0.25">
      <c r="A44" s="16"/>
      <c r="B44" s="141">
        <v>3333</v>
      </c>
      <c r="C44" s="16">
        <v>2015</v>
      </c>
      <c r="D44" s="141" t="s">
        <v>1539</v>
      </c>
      <c r="E44" s="142" t="s">
        <v>1531</v>
      </c>
      <c r="F44" s="142" t="s">
        <v>1548</v>
      </c>
      <c r="G44" s="142" t="s">
        <v>1475</v>
      </c>
      <c r="H44" s="142" t="s">
        <v>1549</v>
      </c>
      <c r="I44" s="16" t="s">
        <v>417</v>
      </c>
      <c r="J44" s="16" t="s">
        <v>19</v>
      </c>
      <c r="K44" s="16" t="s">
        <v>1550</v>
      </c>
      <c r="L44" s="16"/>
      <c r="M44" s="19">
        <v>43707</v>
      </c>
      <c r="N44" s="16"/>
      <c r="O44" s="16"/>
      <c r="P44" s="16"/>
      <c r="Q44" s="143"/>
      <c r="R44" s="143"/>
    </row>
    <row r="45" spans="1:18" ht="39.75" customHeight="1" x14ac:dyDescent="0.25">
      <c r="A45" s="16"/>
      <c r="B45" s="141">
        <v>3478</v>
      </c>
      <c r="C45" s="16">
        <v>2016</v>
      </c>
      <c r="D45" s="141" t="s">
        <v>1551</v>
      </c>
      <c r="E45" s="142" t="s">
        <v>1552</v>
      </c>
      <c r="F45" s="142" t="s">
        <v>1441</v>
      </c>
      <c r="G45" s="142" t="s">
        <v>1475</v>
      </c>
      <c r="H45" s="142" t="s">
        <v>17</v>
      </c>
      <c r="I45" s="16" t="s">
        <v>417</v>
      </c>
      <c r="J45" s="16" t="s">
        <v>1553</v>
      </c>
      <c r="K45" s="16" t="s">
        <v>873</v>
      </c>
      <c r="L45" s="16"/>
      <c r="M45" s="16"/>
      <c r="N45" s="16"/>
      <c r="O45" s="16"/>
      <c r="P45" s="16"/>
      <c r="Q45" s="143"/>
      <c r="R45" s="143"/>
    </row>
    <row r="46" spans="1:18" ht="39.75" customHeight="1" x14ac:dyDescent="0.25">
      <c r="A46" s="16"/>
      <c r="B46" s="141">
        <v>3517</v>
      </c>
      <c r="C46" s="16">
        <v>2016</v>
      </c>
      <c r="D46" s="141" t="s">
        <v>1554</v>
      </c>
      <c r="E46" s="142" t="s">
        <v>1555</v>
      </c>
      <c r="F46" s="142" t="s">
        <v>1441</v>
      </c>
      <c r="G46" s="142" t="s">
        <v>1475</v>
      </c>
      <c r="H46" s="142" t="s">
        <v>73</v>
      </c>
      <c r="I46" s="16" t="s">
        <v>417</v>
      </c>
      <c r="J46" s="16" t="s">
        <v>19</v>
      </c>
      <c r="K46" s="16" t="s">
        <v>1556</v>
      </c>
      <c r="L46" s="16"/>
      <c r="M46" s="19">
        <v>44309</v>
      </c>
      <c r="N46" s="19"/>
      <c r="O46" s="19"/>
      <c r="P46" s="16"/>
      <c r="Q46" s="143"/>
      <c r="R46" s="143"/>
    </row>
    <row r="47" spans="1:18" ht="39.75" customHeight="1" x14ac:dyDescent="0.25">
      <c r="A47" s="16"/>
      <c r="B47" s="141">
        <v>3137</v>
      </c>
      <c r="C47" s="16">
        <v>2014</v>
      </c>
      <c r="D47" s="141" t="s">
        <v>1557</v>
      </c>
      <c r="E47" s="142" t="s">
        <v>1558</v>
      </c>
      <c r="F47" s="142" t="s">
        <v>1559</v>
      </c>
      <c r="G47" s="142" t="s">
        <v>1475</v>
      </c>
      <c r="H47" s="142" t="s">
        <v>1560</v>
      </c>
      <c r="I47" s="16" t="s">
        <v>417</v>
      </c>
      <c r="J47" s="16" t="s">
        <v>19</v>
      </c>
      <c r="K47" s="16" t="s">
        <v>1561</v>
      </c>
      <c r="L47" s="16"/>
      <c r="M47" s="146"/>
      <c r="N47" s="146"/>
      <c r="O47" s="146"/>
      <c r="P47" s="16"/>
      <c r="Q47" s="143"/>
      <c r="R47" s="143"/>
    </row>
    <row r="48" spans="1:18" ht="39.75" customHeight="1" x14ac:dyDescent="0.25">
      <c r="A48" s="16"/>
      <c r="B48" s="141">
        <v>3716</v>
      </c>
      <c r="C48" s="16">
        <v>2017</v>
      </c>
      <c r="D48" s="141" t="s">
        <v>1562</v>
      </c>
      <c r="E48" s="142" t="s">
        <v>1563</v>
      </c>
      <c r="F48" s="142" t="s">
        <v>1564</v>
      </c>
      <c r="G48" s="142" t="s">
        <v>1475</v>
      </c>
      <c r="H48" s="142" t="s">
        <v>1549</v>
      </c>
      <c r="I48" s="16" t="s">
        <v>417</v>
      </c>
      <c r="J48" s="16" t="s">
        <v>19</v>
      </c>
      <c r="K48" s="16" t="s">
        <v>1565</v>
      </c>
      <c r="L48" s="16"/>
      <c r="M48" s="19">
        <v>43925</v>
      </c>
      <c r="N48" s="19"/>
      <c r="O48" s="19"/>
      <c r="P48" s="16"/>
      <c r="Q48" s="143"/>
      <c r="R48" s="143"/>
    </row>
    <row r="49" spans="1:18" ht="39.75" customHeight="1" x14ac:dyDescent="0.25">
      <c r="A49" s="16"/>
      <c r="B49" s="141">
        <v>3791</v>
      </c>
      <c r="C49" s="16">
        <v>2017</v>
      </c>
      <c r="D49" s="141"/>
      <c r="E49" s="142" t="s">
        <v>1563</v>
      </c>
      <c r="F49" s="142" t="s">
        <v>1564</v>
      </c>
      <c r="G49" s="142" t="s">
        <v>1475</v>
      </c>
      <c r="H49" s="142" t="s">
        <v>1566</v>
      </c>
      <c r="I49" s="16" t="s">
        <v>417</v>
      </c>
      <c r="J49" s="16" t="s">
        <v>19</v>
      </c>
      <c r="K49" s="16" t="s">
        <v>1565</v>
      </c>
      <c r="L49" s="16"/>
      <c r="M49" s="16" t="s">
        <v>1567</v>
      </c>
      <c r="N49" s="16"/>
      <c r="O49" s="16" t="s">
        <v>1567</v>
      </c>
      <c r="P49" s="16" t="s">
        <v>1509</v>
      </c>
      <c r="Q49" s="143"/>
      <c r="R49" s="143"/>
    </row>
    <row r="50" spans="1:18" ht="39.75" customHeight="1" x14ac:dyDescent="0.25">
      <c r="A50" s="16"/>
      <c r="B50" s="141">
        <v>3522</v>
      </c>
      <c r="C50" s="16">
        <v>2016</v>
      </c>
      <c r="D50" s="141" t="s">
        <v>1568</v>
      </c>
      <c r="E50" s="142" t="s">
        <v>1563</v>
      </c>
      <c r="F50" s="142" t="s">
        <v>1564</v>
      </c>
      <c r="G50" s="142" t="s">
        <v>1475</v>
      </c>
      <c r="H50" s="142" t="s">
        <v>1569</v>
      </c>
      <c r="I50" s="16" t="s">
        <v>417</v>
      </c>
      <c r="J50" s="16" t="s">
        <v>19</v>
      </c>
      <c r="K50" s="16" t="s">
        <v>1570</v>
      </c>
      <c r="L50" s="16"/>
      <c r="M50" s="19">
        <v>44389</v>
      </c>
      <c r="N50" s="19"/>
      <c r="O50" s="19"/>
      <c r="P50" s="16"/>
      <c r="Q50" s="143"/>
      <c r="R50" s="143"/>
    </row>
    <row r="51" spans="1:18" ht="39.75" customHeight="1" x14ac:dyDescent="0.25">
      <c r="A51" s="16"/>
      <c r="B51" s="141">
        <v>29263</v>
      </c>
      <c r="C51" s="16">
        <v>2015</v>
      </c>
      <c r="D51" s="141" t="s">
        <v>1571</v>
      </c>
      <c r="E51" s="142" t="s">
        <v>1486</v>
      </c>
      <c r="F51" s="142" t="s">
        <v>1487</v>
      </c>
      <c r="G51" s="142" t="s">
        <v>1475</v>
      </c>
      <c r="H51" s="142" t="s">
        <v>1488</v>
      </c>
      <c r="I51" s="16" t="s">
        <v>1133</v>
      </c>
      <c r="J51" s="16" t="s">
        <v>1314</v>
      </c>
      <c r="K51" s="16" t="s">
        <v>1489</v>
      </c>
      <c r="L51" s="16"/>
      <c r="M51" s="16" t="s">
        <v>1572</v>
      </c>
      <c r="N51" s="16"/>
      <c r="O51" s="16"/>
      <c r="P51" s="16"/>
      <c r="Q51" s="143"/>
      <c r="R51" s="143"/>
    </row>
    <row r="52" spans="1:18" ht="39.75" customHeight="1" x14ac:dyDescent="0.25">
      <c r="A52" s="16"/>
      <c r="B52" s="141">
        <v>3928</v>
      </c>
      <c r="C52" s="16">
        <v>2017</v>
      </c>
      <c r="D52" s="141" t="s">
        <v>1495</v>
      </c>
      <c r="E52" s="142" t="s">
        <v>1496</v>
      </c>
      <c r="F52" s="142" t="s">
        <v>1441</v>
      </c>
      <c r="G52" s="142" t="s">
        <v>1475</v>
      </c>
      <c r="H52" s="142" t="s">
        <v>544</v>
      </c>
      <c r="I52" s="16" t="s">
        <v>1133</v>
      </c>
      <c r="J52" s="16" t="s">
        <v>19</v>
      </c>
      <c r="K52" s="16" t="s">
        <v>1497</v>
      </c>
      <c r="L52" s="16"/>
      <c r="M52" s="19">
        <v>43879</v>
      </c>
      <c r="N52" s="19"/>
      <c r="O52" s="19"/>
      <c r="P52" s="16"/>
      <c r="Q52" s="143"/>
      <c r="R52" s="143"/>
    </row>
    <row r="53" spans="1:18" ht="39.75" customHeight="1" x14ac:dyDescent="0.25">
      <c r="A53" s="16"/>
      <c r="B53" s="141">
        <v>43</v>
      </c>
      <c r="C53" s="16">
        <v>2017</v>
      </c>
      <c r="D53" s="141" t="s">
        <v>1573</v>
      </c>
      <c r="E53" s="142" t="s">
        <v>1574</v>
      </c>
      <c r="F53" s="142" t="s">
        <v>1441</v>
      </c>
      <c r="G53" s="142" t="s">
        <v>1475</v>
      </c>
      <c r="H53" s="142" t="s">
        <v>227</v>
      </c>
      <c r="I53" s="16" t="s">
        <v>1133</v>
      </c>
      <c r="J53" s="16" t="s">
        <v>49</v>
      </c>
      <c r="K53" s="16" t="s">
        <v>158</v>
      </c>
      <c r="L53" s="16"/>
      <c r="M53" s="16" t="s">
        <v>1572</v>
      </c>
      <c r="N53" s="16"/>
      <c r="O53" s="16"/>
      <c r="P53" s="16"/>
      <c r="Q53" s="143"/>
      <c r="R53" s="143"/>
    </row>
    <row r="54" spans="1:18" ht="39.75" customHeight="1" x14ac:dyDescent="0.25">
      <c r="A54" s="16"/>
      <c r="B54" s="141">
        <v>93</v>
      </c>
      <c r="C54" s="16">
        <v>2017</v>
      </c>
      <c r="D54" s="141" t="s">
        <v>1575</v>
      </c>
      <c r="E54" s="142" t="s">
        <v>1576</v>
      </c>
      <c r="F54" s="142" t="s">
        <v>1441</v>
      </c>
      <c r="G54" s="142" t="s">
        <v>1475</v>
      </c>
      <c r="H54" s="142" t="s">
        <v>1577</v>
      </c>
      <c r="I54" s="16" t="s">
        <v>1133</v>
      </c>
      <c r="J54" s="16" t="s">
        <v>49</v>
      </c>
      <c r="K54" s="16" t="s">
        <v>158</v>
      </c>
      <c r="L54" s="16"/>
      <c r="M54" s="16" t="s">
        <v>1572</v>
      </c>
      <c r="N54" s="16"/>
      <c r="O54" s="16"/>
      <c r="P54" s="16"/>
      <c r="Q54" s="143"/>
      <c r="R54" s="143"/>
    </row>
    <row r="55" spans="1:18" ht="39.75" customHeight="1" x14ac:dyDescent="0.25">
      <c r="A55" s="16"/>
      <c r="B55" s="141">
        <v>20108</v>
      </c>
      <c r="C55" s="16">
        <v>2016</v>
      </c>
      <c r="D55" s="141" t="s">
        <v>1578</v>
      </c>
      <c r="E55" s="142" t="s">
        <v>1579</v>
      </c>
      <c r="F55" s="142" t="s">
        <v>1580</v>
      </c>
      <c r="G55" s="142" t="s">
        <v>81</v>
      </c>
      <c r="H55" s="142" t="s">
        <v>82</v>
      </c>
      <c r="I55" s="16" t="s">
        <v>1323</v>
      </c>
      <c r="J55" s="16" t="s">
        <v>1521</v>
      </c>
      <c r="K55" s="16" t="s">
        <v>1581</v>
      </c>
      <c r="L55" s="16"/>
      <c r="M55" s="19">
        <v>44631</v>
      </c>
      <c r="N55" s="19">
        <v>44541</v>
      </c>
      <c r="O55" s="19"/>
      <c r="P55" s="16"/>
      <c r="Q55" s="143"/>
      <c r="R55" s="143"/>
    </row>
    <row r="56" spans="1:18" ht="39.75" customHeight="1" x14ac:dyDescent="0.25">
      <c r="A56" s="16"/>
      <c r="B56" s="141">
        <v>9819</v>
      </c>
      <c r="C56" s="16">
        <v>2018</v>
      </c>
      <c r="D56" s="141"/>
      <c r="E56" s="142" t="s">
        <v>1582</v>
      </c>
      <c r="F56" s="142" t="s">
        <v>1441</v>
      </c>
      <c r="G56" s="142" t="s">
        <v>81</v>
      </c>
      <c r="H56" s="142" t="s">
        <v>1583</v>
      </c>
      <c r="I56" s="16" t="s">
        <v>1323</v>
      </c>
      <c r="J56" s="16" t="s">
        <v>1134</v>
      </c>
      <c r="K56" s="16"/>
      <c r="L56" s="16"/>
      <c r="M56" s="16"/>
      <c r="N56" s="16"/>
      <c r="O56" s="16"/>
      <c r="P56" s="16"/>
      <c r="Q56" s="143"/>
      <c r="R56" s="143"/>
    </row>
    <row r="57" spans="1:18" ht="39.75" customHeight="1" x14ac:dyDescent="0.25">
      <c r="A57" s="16"/>
      <c r="B57" s="141">
        <v>37912</v>
      </c>
      <c r="C57" s="16">
        <v>2018</v>
      </c>
      <c r="D57" s="141" t="s">
        <v>1584</v>
      </c>
      <c r="E57" s="142" t="s">
        <v>1585</v>
      </c>
      <c r="F57" s="142" t="s">
        <v>1586</v>
      </c>
      <c r="G57" s="142" t="s">
        <v>81</v>
      </c>
      <c r="H57" s="142" t="s">
        <v>1587</v>
      </c>
      <c r="I57" s="16" t="s">
        <v>1323</v>
      </c>
      <c r="J57" s="16" t="s">
        <v>1134</v>
      </c>
      <c r="K57" s="16"/>
      <c r="L57" s="16"/>
      <c r="M57" s="16"/>
      <c r="N57" s="16"/>
      <c r="O57" s="16"/>
      <c r="P57" s="16"/>
      <c r="Q57" s="143"/>
      <c r="R57" s="143"/>
    </row>
    <row r="58" spans="1:18" ht="39.75" customHeight="1" x14ac:dyDescent="0.25">
      <c r="A58" s="16"/>
      <c r="B58" s="141">
        <v>36525</v>
      </c>
      <c r="C58" s="16">
        <v>2018</v>
      </c>
      <c r="D58" s="141" t="s">
        <v>1588</v>
      </c>
      <c r="E58" s="142" t="s">
        <v>1589</v>
      </c>
      <c r="F58" s="142" t="s">
        <v>1441</v>
      </c>
      <c r="G58" s="142" t="s">
        <v>81</v>
      </c>
      <c r="H58" s="142" t="s">
        <v>1590</v>
      </c>
      <c r="I58" s="16" t="s">
        <v>1323</v>
      </c>
      <c r="J58" s="16" t="s">
        <v>1134</v>
      </c>
      <c r="K58" s="16" t="s">
        <v>1591</v>
      </c>
      <c r="L58" s="16"/>
      <c r="M58" s="16"/>
      <c r="N58" s="16"/>
      <c r="O58" s="16"/>
      <c r="P58" s="125"/>
      <c r="Q58" s="143"/>
      <c r="R58" s="143"/>
    </row>
    <row r="59" spans="1:18" ht="39.75" customHeight="1" x14ac:dyDescent="0.25">
      <c r="A59" s="16"/>
      <c r="B59" s="141">
        <v>47527</v>
      </c>
      <c r="C59" s="16">
        <v>2018</v>
      </c>
      <c r="D59" s="141" t="s">
        <v>234</v>
      </c>
      <c r="E59" s="142" t="s">
        <v>1592</v>
      </c>
      <c r="F59" s="142" t="s">
        <v>1441</v>
      </c>
      <c r="G59" s="142" t="s">
        <v>81</v>
      </c>
      <c r="H59" s="142" t="s">
        <v>1593</v>
      </c>
      <c r="I59" s="16" t="s">
        <v>1323</v>
      </c>
      <c r="J59" s="16" t="s">
        <v>1134</v>
      </c>
      <c r="K59" s="16" t="s">
        <v>169</v>
      </c>
      <c r="L59" s="16"/>
      <c r="M59" s="19">
        <v>44201</v>
      </c>
      <c r="N59" s="19"/>
      <c r="O59" s="19">
        <v>44232</v>
      </c>
      <c r="P59" s="16"/>
      <c r="Q59" s="143"/>
      <c r="R59" s="143"/>
    </row>
    <row r="60" spans="1:18" ht="39.75" customHeight="1" x14ac:dyDescent="0.25">
      <c r="A60" s="16"/>
      <c r="B60" s="141">
        <v>1154</v>
      </c>
      <c r="C60" s="16">
        <v>2015</v>
      </c>
      <c r="D60" s="141" t="s">
        <v>1578</v>
      </c>
      <c r="E60" s="142" t="s">
        <v>1579</v>
      </c>
      <c r="F60" s="142" t="s">
        <v>1580</v>
      </c>
      <c r="G60" s="142" t="s">
        <v>81</v>
      </c>
      <c r="H60" s="142" t="s">
        <v>82</v>
      </c>
      <c r="I60" s="16" t="s">
        <v>417</v>
      </c>
      <c r="J60" s="16" t="s">
        <v>19</v>
      </c>
      <c r="K60" s="16" t="s">
        <v>1581</v>
      </c>
      <c r="L60" s="16"/>
      <c r="M60" s="16"/>
      <c r="N60" s="16"/>
      <c r="O60" s="16"/>
      <c r="P60" s="16"/>
      <c r="Q60" s="143"/>
      <c r="R60" s="143"/>
    </row>
    <row r="61" spans="1:18" ht="39.75" customHeight="1" x14ac:dyDescent="0.25">
      <c r="A61" s="16"/>
      <c r="B61" s="141">
        <v>7741</v>
      </c>
      <c r="C61" s="16">
        <v>2018</v>
      </c>
      <c r="D61" s="141" t="s">
        <v>234</v>
      </c>
      <c r="E61" s="142" t="s">
        <v>1592</v>
      </c>
      <c r="F61" s="142" t="s">
        <v>1441</v>
      </c>
      <c r="G61" s="142" t="s">
        <v>81</v>
      </c>
      <c r="H61" s="142" t="s">
        <v>1594</v>
      </c>
      <c r="I61" s="16" t="s">
        <v>1133</v>
      </c>
      <c r="J61" s="16" t="s">
        <v>1595</v>
      </c>
      <c r="K61" s="16" t="s">
        <v>169</v>
      </c>
      <c r="L61" s="16"/>
      <c r="M61" s="16"/>
      <c r="N61" s="16"/>
      <c r="O61" s="16"/>
      <c r="P61" s="16"/>
      <c r="Q61" s="143"/>
      <c r="R61" s="143"/>
    </row>
    <row r="62" spans="1:18" ht="39.75" customHeight="1" x14ac:dyDescent="0.25">
      <c r="A62" s="16"/>
      <c r="B62" s="141">
        <v>8197</v>
      </c>
      <c r="C62" s="16">
        <v>2018</v>
      </c>
      <c r="D62" s="141" t="s">
        <v>234</v>
      </c>
      <c r="E62" s="142" t="s">
        <v>1592</v>
      </c>
      <c r="F62" s="142" t="s">
        <v>1441</v>
      </c>
      <c r="G62" s="142" t="s">
        <v>81</v>
      </c>
      <c r="H62" s="142" t="s">
        <v>1593</v>
      </c>
      <c r="I62" s="16" t="s">
        <v>1133</v>
      </c>
      <c r="J62" s="16" t="s">
        <v>1595</v>
      </c>
      <c r="K62" s="16" t="s">
        <v>169</v>
      </c>
      <c r="L62" s="16"/>
      <c r="M62" s="16"/>
      <c r="N62" s="16"/>
      <c r="O62" s="16"/>
      <c r="P62" s="16"/>
      <c r="Q62" s="143"/>
      <c r="R62" s="143"/>
    </row>
    <row r="63" spans="1:18" ht="39.75" customHeight="1" x14ac:dyDescent="0.25">
      <c r="A63" s="16"/>
      <c r="B63" s="141">
        <v>2213</v>
      </c>
      <c r="C63" s="16">
        <v>2016</v>
      </c>
      <c r="D63" s="141" t="s">
        <v>1596</v>
      </c>
      <c r="E63" s="142" t="s">
        <v>1597</v>
      </c>
      <c r="F63" s="142" t="s">
        <v>1598</v>
      </c>
      <c r="G63" s="142" t="s">
        <v>1599</v>
      </c>
      <c r="H63" s="142" t="s">
        <v>1583</v>
      </c>
      <c r="I63" s="16" t="s">
        <v>1323</v>
      </c>
      <c r="J63" s="16" t="s">
        <v>1134</v>
      </c>
      <c r="K63" s="16" t="s">
        <v>1489</v>
      </c>
      <c r="L63" s="16"/>
      <c r="M63" s="19">
        <v>43982</v>
      </c>
      <c r="N63" s="19"/>
      <c r="O63" s="19"/>
      <c r="P63" s="16"/>
      <c r="Q63" s="143"/>
      <c r="R63" s="143"/>
    </row>
    <row r="64" spans="1:18" ht="39.75" customHeight="1" x14ac:dyDescent="0.25">
      <c r="A64" s="16"/>
      <c r="B64" s="141">
        <v>1</v>
      </c>
      <c r="C64" s="16">
        <v>2018</v>
      </c>
      <c r="D64" s="141" t="s">
        <v>1596</v>
      </c>
      <c r="E64" s="142" t="s">
        <v>1597</v>
      </c>
      <c r="F64" s="142" t="s">
        <v>1598</v>
      </c>
      <c r="G64" s="142" t="s">
        <v>1599</v>
      </c>
      <c r="H64" s="142" t="s">
        <v>1583</v>
      </c>
      <c r="I64" s="16" t="s">
        <v>417</v>
      </c>
      <c r="J64" s="16" t="s">
        <v>19</v>
      </c>
      <c r="K64" s="16" t="s">
        <v>1489</v>
      </c>
      <c r="L64" s="16"/>
      <c r="M64" s="19">
        <v>43812</v>
      </c>
      <c r="N64" s="19"/>
      <c r="O64" s="19"/>
      <c r="P64" s="16"/>
      <c r="Q64" s="143"/>
      <c r="R64" s="143"/>
    </row>
    <row r="65" spans="1:26" ht="39.75" customHeight="1" x14ac:dyDescent="0.25">
      <c r="A65" s="16"/>
      <c r="B65" s="141">
        <v>2458</v>
      </c>
      <c r="C65" s="16">
        <v>2019</v>
      </c>
      <c r="D65" s="141" t="s">
        <v>1596</v>
      </c>
      <c r="E65" s="142" t="s">
        <v>1597</v>
      </c>
      <c r="F65" s="142" t="s">
        <v>1598</v>
      </c>
      <c r="G65" s="142" t="s">
        <v>1599</v>
      </c>
      <c r="H65" s="142" t="s">
        <v>1583</v>
      </c>
      <c r="I65" s="16" t="s">
        <v>417</v>
      </c>
      <c r="J65" s="16" t="s">
        <v>1314</v>
      </c>
      <c r="K65" s="16" t="s">
        <v>1489</v>
      </c>
      <c r="L65" s="16"/>
      <c r="M65" s="16"/>
      <c r="N65" s="16"/>
      <c r="O65" s="16"/>
      <c r="P65" s="16"/>
      <c r="Q65" s="143"/>
      <c r="R65" s="143"/>
    </row>
    <row r="66" spans="1:26" ht="39.75" customHeight="1" x14ac:dyDescent="0.25">
      <c r="A66" s="16"/>
      <c r="B66" s="141">
        <v>19969</v>
      </c>
      <c r="C66" s="16">
        <v>2013</v>
      </c>
      <c r="D66" s="141" t="s">
        <v>1600</v>
      </c>
      <c r="E66" s="142" t="s">
        <v>1601</v>
      </c>
      <c r="F66" s="142" t="s">
        <v>1602</v>
      </c>
      <c r="G66" s="142" t="s">
        <v>681</v>
      </c>
      <c r="H66" s="142" t="s">
        <v>1603</v>
      </c>
      <c r="I66" s="16" t="s">
        <v>1323</v>
      </c>
      <c r="J66" s="16" t="s">
        <v>1134</v>
      </c>
      <c r="K66" s="16" t="s">
        <v>1494</v>
      </c>
      <c r="L66" s="16"/>
      <c r="M66" s="16"/>
      <c r="N66" s="16"/>
      <c r="O66" s="16"/>
      <c r="P66" s="16"/>
      <c r="Q66" s="143"/>
      <c r="R66" s="143"/>
    </row>
    <row r="67" spans="1:26" ht="39.75" customHeight="1" x14ac:dyDescent="0.25">
      <c r="A67" s="16"/>
      <c r="B67" s="141">
        <v>15940</v>
      </c>
      <c r="C67" s="16">
        <v>2015</v>
      </c>
      <c r="D67" s="141" t="s">
        <v>1604</v>
      </c>
      <c r="E67" s="142" t="s">
        <v>1601</v>
      </c>
      <c r="F67" s="142" t="s">
        <v>1602</v>
      </c>
      <c r="G67" s="142" t="s">
        <v>681</v>
      </c>
      <c r="H67" s="142" t="s">
        <v>1603</v>
      </c>
      <c r="I67" s="16" t="s">
        <v>417</v>
      </c>
      <c r="J67" s="16" t="s">
        <v>19</v>
      </c>
      <c r="K67" s="16" t="s">
        <v>873</v>
      </c>
      <c r="L67" s="16"/>
      <c r="M67" s="16"/>
      <c r="N67" s="16"/>
      <c r="O67" s="16"/>
      <c r="P67" s="16"/>
      <c r="Q67" s="143"/>
      <c r="R67" s="143"/>
    </row>
    <row r="68" spans="1:26" ht="39.75" customHeight="1" x14ac:dyDescent="0.25">
      <c r="A68" s="16"/>
      <c r="B68" s="141">
        <v>15086</v>
      </c>
      <c r="C68" s="16">
        <v>2013</v>
      </c>
      <c r="D68" s="141" t="s">
        <v>1604</v>
      </c>
      <c r="E68" s="142" t="s">
        <v>1601</v>
      </c>
      <c r="F68" s="142" t="s">
        <v>1602</v>
      </c>
      <c r="G68" s="142" t="s">
        <v>681</v>
      </c>
      <c r="H68" s="142" t="s">
        <v>1603</v>
      </c>
      <c r="I68" s="16" t="s">
        <v>417</v>
      </c>
      <c r="J68" s="16" t="s">
        <v>19</v>
      </c>
      <c r="K68" s="16" t="s">
        <v>1605</v>
      </c>
      <c r="L68" s="16"/>
      <c r="M68" s="16"/>
      <c r="N68" s="16"/>
      <c r="O68" s="16"/>
      <c r="P68" s="16"/>
      <c r="Q68" s="143"/>
      <c r="R68" s="143"/>
    </row>
    <row r="69" spans="1:26" ht="39.75" customHeight="1" x14ac:dyDescent="0.25">
      <c r="A69" s="16"/>
      <c r="B69" s="141">
        <v>850348</v>
      </c>
      <c r="C69" s="16">
        <v>2012</v>
      </c>
      <c r="D69" s="141" t="s">
        <v>1604</v>
      </c>
      <c r="E69" s="142" t="s">
        <v>1601</v>
      </c>
      <c r="F69" s="142" t="s">
        <v>1602</v>
      </c>
      <c r="G69" s="142" t="s">
        <v>681</v>
      </c>
      <c r="H69" s="142" t="s">
        <v>1603</v>
      </c>
      <c r="I69" s="16" t="s">
        <v>417</v>
      </c>
      <c r="J69" s="16" t="s">
        <v>1471</v>
      </c>
      <c r="K69" s="16" t="s">
        <v>873</v>
      </c>
      <c r="L69" s="16"/>
      <c r="M69" s="16"/>
      <c r="N69" s="16"/>
      <c r="O69" s="16"/>
      <c r="P69" s="16"/>
      <c r="Q69" s="143"/>
      <c r="R69" s="143"/>
    </row>
    <row r="70" spans="1:26" ht="39.75" customHeight="1" x14ac:dyDescent="0.25">
      <c r="A70" s="16"/>
      <c r="B70" s="141">
        <v>18583</v>
      </c>
      <c r="C70" s="16">
        <v>2012</v>
      </c>
      <c r="D70" s="141" t="s">
        <v>1606</v>
      </c>
      <c r="E70" s="142" t="s">
        <v>1601</v>
      </c>
      <c r="F70" s="142" t="s">
        <v>1602</v>
      </c>
      <c r="G70" s="142" t="s">
        <v>681</v>
      </c>
      <c r="H70" s="142" t="s">
        <v>1603</v>
      </c>
      <c r="I70" s="16" t="s">
        <v>417</v>
      </c>
      <c r="J70" s="16" t="s">
        <v>19</v>
      </c>
      <c r="K70" s="16" t="s">
        <v>873</v>
      </c>
      <c r="L70" s="16"/>
      <c r="M70" s="16"/>
      <c r="N70" s="16"/>
      <c r="O70" s="16"/>
      <c r="P70" s="16"/>
      <c r="Q70" s="143"/>
      <c r="R70" s="143"/>
    </row>
    <row r="71" spans="1:26" ht="39.75" customHeight="1" x14ac:dyDescent="0.25">
      <c r="A71" s="16"/>
      <c r="B71" s="141">
        <v>55</v>
      </c>
      <c r="C71" s="16">
        <v>2012</v>
      </c>
      <c r="D71" s="141" t="s">
        <v>1607</v>
      </c>
      <c r="E71" s="142" t="s">
        <v>1608</v>
      </c>
      <c r="F71" s="142" t="s">
        <v>1609</v>
      </c>
      <c r="G71" s="142" t="s">
        <v>209</v>
      </c>
      <c r="H71" s="142" t="s">
        <v>1610</v>
      </c>
      <c r="I71" s="16" t="s">
        <v>417</v>
      </c>
      <c r="J71" s="16" t="s">
        <v>19</v>
      </c>
      <c r="K71" s="16" t="s">
        <v>1433</v>
      </c>
      <c r="L71" s="16"/>
      <c r="M71" s="19">
        <v>43484</v>
      </c>
      <c r="N71" s="19"/>
      <c r="O71" s="19"/>
      <c r="P71" s="16"/>
      <c r="Q71" s="143"/>
      <c r="R71" s="143"/>
    </row>
    <row r="72" spans="1:26" ht="39.75" customHeight="1" x14ac:dyDescent="0.25">
      <c r="A72" s="16"/>
      <c r="B72" s="141">
        <v>3661</v>
      </c>
      <c r="C72" s="16">
        <v>2016</v>
      </c>
      <c r="D72" s="148" t="s">
        <v>1611</v>
      </c>
      <c r="E72" s="142" t="s">
        <v>1612</v>
      </c>
      <c r="F72" s="142" t="s">
        <v>1613</v>
      </c>
      <c r="G72" s="142" t="s">
        <v>1475</v>
      </c>
      <c r="H72" s="142" t="s">
        <v>1614</v>
      </c>
      <c r="I72" s="16" t="s">
        <v>417</v>
      </c>
      <c r="J72" s="16" t="s">
        <v>1615</v>
      </c>
      <c r="K72" s="16"/>
      <c r="L72" s="16"/>
      <c r="M72" s="19">
        <v>43780</v>
      </c>
      <c r="N72" s="19"/>
      <c r="O72" s="19"/>
      <c r="P72" s="16" t="s">
        <v>1509</v>
      </c>
      <c r="Q72" s="143"/>
      <c r="R72" s="143"/>
    </row>
    <row r="73" spans="1:26" ht="39.75" customHeight="1" x14ac:dyDescent="0.25">
      <c r="A73" s="149"/>
      <c r="B73" s="150">
        <v>13373</v>
      </c>
      <c r="C73" s="150">
        <v>2017</v>
      </c>
      <c r="D73" s="150" t="s">
        <v>1616</v>
      </c>
      <c r="E73" s="144" t="s">
        <v>1617</v>
      </c>
      <c r="F73" s="144" t="s">
        <v>1618</v>
      </c>
      <c r="G73" s="144" t="s">
        <v>1619</v>
      </c>
      <c r="H73" s="144" t="s">
        <v>1620</v>
      </c>
      <c r="I73" s="144" t="s">
        <v>1323</v>
      </c>
      <c r="J73" s="144" t="s">
        <v>1329</v>
      </c>
      <c r="K73" s="144" t="s">
        <v>1438</v>
      </c>
      <c r="L73" s="144" t="s">
        <v>1621</v>
      </c>
      <c r="M73" s="151">
        <v>43119</v>
      </c>
      <c r="N73" s="152"/>
      <c r="O73" s="152"/>
      <c r="P73" s="152"/>
      <c r="Q73" s="152"/>
      <c r="R73" s="152"/>
      <c r="S73" s="153"/>
      <c r="T73" s="152"/>
      <c r="U73" s="150"/>
      <c r="V73" s="144" t="s">
        <v>1622</v>
      </c>
      <c r="W73" s="143"/>
      <c r="X73" s="143"/>
      <c r="Y73" s="143"/>
      <c r="Z73" s="143"/>
    </row>
    <row r="74" spans="1:26" ht="39.75" customHeight="1" x14ac:dyDescent="0.4">
      <c r="A74" s="154"/>
      <c r="B74" s="155">
        <v>91</v>
      </c>
      <c r="C74" s="155">
        <v>2021</v>
      </c>
      <c r="D74" s="156" t="s">
        <v>1623</v>
      </c>
      <c r="E74" s="157" t="s">
        <v>1624</v>
      </c>
      <c r="F74" s="157" t="s">
        <v>1625</v>
      </c>
      <c r="G74" s="157" t="s">
        <v>402</v>
      </c>
      <c r="H74" s="157"/>
      <c r="I74" s="158" t="s">
        <v>18</v>
      </c>
      <c r="J74" s="157" t="s">
        <v>19</v>
      </c>
      <c r="K74" s="157" t="s">
        <v>1626</v>
      </c>
      <c r="L74" s="159" t="s">
        <v>21</v>
      </c>
      <c r="M74" s="159" t="s">
        <v>1627</v>
      </c>
      <c r="N74" s="160"/>
      <c r="O74" s="159" t="s">
        <v>1628</v>
      </c>
      <c r="P74" s="161" t="str">
        <f ca="1">IF(M74&gt;TODAY(),"Válida",IF(ISBLANK(M74),"Andamento",IF(M74&lt;TODAY(),"Vencida",IF(M74-TODAY()&lt;90,"URGENTE",IF(M74-TODAY()&lt;150,"RENOVAÇÃO",)))))</f>
        <v>Válida</v>
      </c>
      <c r="Q74" s="162">
        <f ca="1">M74-(NOW())</f>
        <v>-1401.3954884259292</v>
      </c>
      <c r="R74" s="161" t="str">
        <f ca="1">IF(M74-TODAY()&gt;150,"Válida",IF(ISBLANK(M74),"Aguardando",IF(M74&lt;TODAY(),"Vencida",IF(M74-TODAY()&lt;90,"URGENTE",IF(M74-TODAY()&lt;150,"RENOVAÇÃO",)))))</f>
        <v>URGENTE</v>
      </c>
      <c r="S74" s="163"/>
      <c r="T74" s="159"/>
      <c r="U74" s="159"/>
      <c r="V74" s="164"/>
      <c r="W74" s="164"/>
      <c r="X74" s="156" t="s">
        <v>1629</v>
      </c>
    </row>
    <row r="75" spans="1:26" ht="39.75" customHeight="1" x14ac:dyDescent="0.25">
      <c r="A75" s="139"/>
      <c r="B75" s="148"/>
      <c r="C75" s="143"/>
      <c r="D75" s="148" t="s">
        <v>1630</v>
      </c>
      <c r="E75" s="165" t="s">
        <v>1631</v>
      </c>
      <c r="F75" s="165" t="s">
        <v>1632</v>
      </c>
      <c r="G75" s="165" t="s">
        <v>747</v>
      </c>
      <c r="H75" s="165"/>
      <c r="I75" s="143" t="s">
        <v>1323</v>
      </c>
      <c r="J75" s="143" t="s">
        <v>1329</v>
      </c>
      <c r="K75" s="143"/>
      <c r="L75" s="143"/>
      <c r="M75" s="143"/>
      <c r="N75" s="143"/>
      <c r="O75" s="143"/>
      <c r="P75" s="143"/>
      <c r="Q75" s="143"/>
      <c r="R75" s="143"/>
    </row>
    <row r="76" spans="1:26" ht="39.75" customHeight="1" x14ac:dyDescent="0.25">
      <c r="A76" s="139"/>
      <c r="B76" s="148">
        <v>121</v>
      </c>
      <c r="C76" s="143">
        <v>2020</v>
      </c>
      <c r="D76" s="148" t="s">
        <v>1633</v>
      </c>
      <c r="E76" s="165" t="s">
        <v>1634</v>
      </c>
      <c r="F76" s="165" t="s">
        <v>1635</v>
      </c>
      <c r="G76" s="165" t="s">
        <v>747</v>
      </c>
      <c r="H76" s="165"/>
      <c r="I76" s="143" t="s">
        <v>1323</v>
      </c>
      <c r="J76" s="143" t="s">
        <v>1329</v>
      </c>
      <c r="K76" s="143"/>
      <c r="L76" s="143"/>
      <c r="M76" s="143"/>
      <c r="N76" s="143"/>
      <c r="O76" s="143"/>
      <c r="P76" s="143"/>
      <c r="Q76" s="143"/>
      <c r="R76" s="143"/>
    </row>
    <row r="77" spans="1:26" ht="39.75" customHeight="1" x14ac:dyDescent="0.25">
      <c r="A77" s="139"/>
      <c r="B77" s="148">
        <v>112</v>
      </c>
      <c r="C77" s="143">
        <v>2020</v>
      </c>
      <c r="D77" s="148" t="s">
        <v>1636</v>
      </c>
      <c r="E77" s="165" t="s">
        <v>1634</v>
      </c>
      <c r="F77" s="165" t="s">
        <v>1635</v>
      </c>
      <c r="G77" s="165" t="s">
        <v>747</v>
      </c>
      <c r="H77" s="165"/>
      <c r="I77" s="143" t="s">
        <v>1323</v>
      </c>
      <c r="J77" s="143" t="s">
        <v>1329</v>
      </c>
      <c r="K77" s="143"/>
      <c r="L77" s="143"/>
      <c r="M77" s="143"/>
      <c r="N77" s="143"/>
      <c r="O77" s="143"/>
      <c r="P77" s="143"/>
      <c r="Q77" s="143"/>
      <c r="R77" s="143"/>
    </row>
    <row r="78" spans="1:26" ht="39.75" customHeight="1" x14ac:dyDescent="0.25">
      <c r="A78" s="139"/>
      <c r="B78" s="148"/>
      <c r="C78" s="143"/>
      <c r="D78" s="148" t="s">
        <v>1637</v>
      </c>
      <c r="E78" s="165" t="s">
        <v>1638</v>
      </c>
      <c r="F78" s="165" t="s">
        <v>1639</v>
      </c>
      <c r="G78" s="165" t="s">
        <v>747</v>
      </c>
      <c r="H78" s="165"/>
      <c r="I78" s="143" t="s">
        <v>1323</v>
      </c>
      <c r="J78" s="143" t="s">
        <v>1329</v>
      </c>
      <c r="K78" s="143"/>
      <c r="L78" s="143"/>
      <c r="M78" s="143"/>
      <c r="N78" s="143"/>
      <c r="O78" s="143"/>
      <c r="P78" s="143"/>
      <c r="Q78" s="143"/>
      <c r="R78" s="143"/>
    </row>
    <row r="79" spans="1:26" ht="39.75" customHeight="1" x14ac:dyDescent="0.25">
      <c r="A79" s="139"/>
      <c r="B79" s="148"/>
      <c r="C79" s="143"/>
      <c r="D79" s="148" t="s">
        <v>1640</v>
      </c>
      <c r="E79" s="165" t="s">
        <v>1641</v>
      </c>
      <c r="F79" s="165" t="s">
        <v>1642</v>
      </c>
      <c r="G79" s="165" t="s">
        <v>747</v>
      </c>
      <c r="H79" s="165"/>
      <c r="I79" s="143" t="s">
        <v>1323</v>
      </c>
      <c r="J79" s="143" t="s">
        <v>1329</v>
      </c>
      <c r="K79" s="143"/>
      <c r="L79" s="143"/>
      <c r="M79" s="143"/>
      <c r="N79" s="143"/>
      <c r="O79" s="143"/>
      <c r="P79" s="143"/>
      <c r="Q79" s="143"/>
      <c r="R79" s="143"/>
    </row>
    <row r="80" spans="1:26" ht="39.75" customHeight="1" x14ac:dyDescent="0.25">
      <c r="A80" s="139"/>
      <c r="B80" s="148"/>
      <c r="C80" s="143"/>
      <c r="D80" s="148" t="s">
        <v>1643</v>
      </c>
      <c r="E80" s="165" t="s">
        <v>1644</v>
      </c>
      <c r="F80" s="165" t="s">
        <v>1645</v>
      </c>
      <c r="G80" s="165" t="s">
        <v>747</v>
      </c>
      <c r="H80" s="165"/>
      <c r="I80" s="143" t="s">
        <v>1323</v>
      </c>
      <c r="J80" s="143" t="s">
        <v>1329</v>
      </c>
      <c r="K80" s="143"/>
      <c r="L80" s="143"/>
      <c r="M80" s="143"/>
      <c r="N80" s="143"/>
      <c r="O80" s="143"/>
      <c r="P80" s="143"/>
      <c r="Q80" s="143"/>
      <c r="R80" s="143"/>
    </row>
    <row r="81" spans="1:18" ht="39.75" customHeight="1" x14ac:dyDescent="0.25">
      <c r="A81" s="139"/>
      <c r="B81" s="148"/>
      <c r="C81" s="143"/>
      <c r="D81" s="148" t="s">
        <v>1646</v>
      </c>
      <c r="E81" s="165" t="s">
        <v>1647</v>
      </c>
      <c r="F81" s="165" t="s">
        <v>1648</v>
      </c>
      <c r="G81" s="165" t="s">
        <v>747</v>
      </c>
      <c r="H81" s="165"/>
      <c r="I81" s="143" t="s">
        <v>1323</v>
      </c>
      <c r="J81" s="143" t="s">
        <v>1329</v>
      </c>
      <c r="K81" s="143"/>
      <c r="L81" s="143"/>
      <c r="M81" s="143"/>
      <c r="N81" s="143"/>
      <c r="O81" s="143"/>
      <c r="P81" s="143"/>
      <c r="Q81" s="143"/>
      <c r="R81" s="143"/>
    </row>
    <row r="82" spans="1:18" ht="39.75" customHeight="1" x14ac:dyDescent="0.25">
      <c r="A82" s="139"/>
      <c r="B82" s="148"/>
      <c r="C82" s="143"/>
      <c r="D82" s="148" t="s">
        <v>1649</v>
      </c>
      <c r="E82" s="165" t="s">
        <v>1647</v>
      </c>
      <c r="F82" s="165" t="s">
        <v>1650</v>
      </c>
      <c r="G82" s="165" t="s">
        <v>747</v>
      </c>
      <c r="H82" s="165"/>
      <c r="I82" s="143" t="s">
        <v>1323</v>
      </c>
      <c r="J82" s="143" t="s">
        <v>1329</v>
      </c>
      <c r="K82" s="143"/>
      <c r="L82" s="143"/>
      <c r="M82" s="143"/>
      <c r="N82" s="143"/>
      <c r="O82" s="143"/>
      <c r="P82" s="143"/>
      <c r="Q82" s="143"/>
      <c r="R82" s="143"/>
    </row>
    <row r="83" spans="1:18" ht="39.75" customHeight="1" x14ac:dyDescent="0.25">
      <c r="A83" s="139"/>
      <c r="B83" s="148">
        <v>5045</v>
      </c>
      <c r="C83" s="143">
        <v>2019</v>
      </c>
      <c r="D83" s="148" t="s">
        <v>1651</v>
      </c>
      <c r="E83" s="165" t="s">
        <v>1652</v>
      </c>
      <c r="F83" s="165" t="s">
        <v>1653</v>
      </c>
      <c r="G83" s="165" t="s">
        <v>1475</v>
      </c>
      <c r="H83" s="165"/>
      <c r="I83" s="143" t="s">
        <v>1323</v>
      </c>
      <c r="J83" s="143" t="s">
        <v>1329</v>
      </c>
      <c r="K83" s="143"/>
      <c r="L83" s="143"/>
      <c r="M83" s="143"/>
      <c r="N83" s="143"/>
      <c r="O83" s="143"/>
      <c r="P83" s="143"/>
      <c r="Q83" s="143"/>
      <c r="R83" s="143"/>
    </row>
    <row r="84" spans="1:18" ht="39.75" customHeight="1" x14ac:dyDescent="0.25">
      <c r="A84" s="139"/>
      <c r="B84" s="148">
        <v>5136</v>
      </c>
      <c r="C84" s="143">
        <v>2019</v>
      </c>
      <c r="D84" s="148" t="s">
        <v>1381</v>
      </c>
      <c r="E84" s="165" t="s">
        <v>1654</v>
      </c>
      <c r="F84" s="165" t="s">
        <v>1655</v>
      </c>
      <c r="G84" s="165" t="s">
        <v>1475</v>
      </c>
      <c r="H84" s="165"/>
      <c r="I84" s="143" t="s">
        <v>1323</v>
      </c>
      <c r="J84" s="143" t="s">
        <v>1329</v>
      </c>
      <c r="K84" s="143"/>
      <c r="L84" s="143"/>
      <c r="M84" s="143"/>
      <c r="N84" s="143"/>
      <c r="O84" s="143"/>
      <c r="P84" s="143"/>
      <c r="Q84" s="143"/>
      <c r="R84" s="143"/>
    </row>
    <row r="85" spans="1:18" ht="39.75" customHeight="1" x14ac:dyDescent="0.25">
      <c r="A85" s="139"/>
      <c r="B85" s="148">
        <v>5176</v>
      </c>
      <c r="C85" s="143">
        <v>2020</v>
      </c>
      <c r="D85" s="148" t="s">
        <v>1381</v>
      </c>
      <c r="E85" s="165" t="s">
        <v>1654</v>
      </c>
      <c r="F85" s="165" t="s">
        <v>1656</v>
      </c>
      <c r="G85" s="165" t="s">
        <v>1475</v>
      </c>
      <c r="H85" s="165"/>
      <c r="I85" s="143" t="s">
        <v>1323</v>
      </c>
      <c r="J85" s="143" t="s">
        <v>1329</v>
      </c>
      <c r="K85" s="143"/>
      <c r="L85" s="143"/>
      <c r="M85" s="143"/>
      <c r="N85" s="143"/>
      <c r="O85" s="143"/>
      <c r="P85" s="143"/>
      <c r="Q85" s="143"/>
      <c r="R85" s="143"/>
    </row>
    <row r="86" spans="1:18" ht="39.75" customHeight="1" x14ac:dyDescent="0.25">
      <c r="A86" s="139"/>
      <c r="B86" s="148">
        <v>4636</v>
      </c>
      <c r="C86" s="143">
        <v>2019</v>
      </c>
      <c r="D86" s="148" t="s">
        <v>1657</v>
      </c>
      <c r="E86" s="165" t="s">
        <v>1654</v>
      </c>
      <c r="F86" s="165" t="s">
        <v>1658</v>
      </c>
      <c r="G86" s="165" t="s">
        <v>1475</v>
      </c>
      <c r="H86" s="165"/>
      <c r="I86" s="143" t="s">
        <v>1323</v>
      </c>
      <c r="J86" s="143" t="s">
        <v>1329</v>
      </c>
      <c r="K86" s="143"/>
      <c r="L86" s="143"/>
      <c r="M86" s="143"/>
      <c r="N86" s="143"/>
      <c r="O86" s="143"/>
      <c r="P86" s="143"/>
      <c r="Q86" s="143"/>
      <c r="R86" s="143"/>
    </row>
    <row r="87" spans="1:18" ht="39.75" customHeight="1" x14ac:dyDescent="0.25">
      <c r="A87" s="139"/>
      <c r="B87" s="148">
        <v>5731</v>
      </c>
      <c r="C87" s="143">
        <v>2021</v>
      </c>
      <c r="D87" s="148" t="s">
        <v>1659</v>
      </c>
      <c r="E87" s="165" t="s">
        <v>1654</v>
      </c>
      <c r="F87" s="165" t="s">
        <v>1655</v>
      </c>
      <c r="G87" s="165" t="s">
        <v>1475</v>
      </c>
      <c r="H87" s="165"/>
      <c r="I87" s="143" t="s">
        <v>1323</v>
      </c>
      <c r="J87" s="143" t="s">
        <v>1329</v>
      </c>
      <c r="K87" s="143"/>
      <c r="L87" s="143"/>
      <c r="M87" s="143"/>
      <c r="N87" s="143"/>
      <c r="O87" s="143"/>
      <c r="P87" s="143"/>
      <c r="Q87" s="143"/>
      <c r="R87" s="143"/>
    </row>
    <row r="88" spans="1:18" ht="39.75" customHeight="1" x14ac:dyDescent="0.25">
      <c r="A88" s="139"/>
      <c r="B88" s="148">
        <v>4425</v>
      </c>
      <c r="C88" s="143">
        <v>2018</v>
      </c>
      <c r="D88" s="148" t="s">
        <v>1391</v>
      </c>
      <c r="E88" s="165" t="s">
        <v>1660</v>
      </c>
      <c r="F88" s="165" t="s">
        <v>1661</v>
      </c>
      <c r="G88" s="165" t="s">
        <v>1475</v>
      </c>
      <c r="H88" s="165"/>
      <c r="I88" s="143" t="s">
        <v>1323</v>
      </c>
      <c r="J88" s="143" t="s">
        <v>1329</v>
      </c>
      <c r="K88" s="143"/>
      <c r="L88" s="143"/>
      <c r="M88" s="143"/>
      <c r="N88" s="143"/>
      <c r="O88" s="143"/>
      <c r="P88" s="143"/>
      <c r="Q88" s="143"/>
      <c r="R88" s="143"/>
    </row>
    <row r="89" spans="1:18" ht="39.75" customHeight="1" x14ac:dyDescent="0.25">
      <c r="A89" s="139"/>
      <c r="B89" s="148">
        <v>5306</v>
      </c>
      <c r="C89" s="143">
        <v>2020</v>
      </c>
      <c r="D89" s="148" t="s">
        <v>1662</v>
      </c>
      <c r="E89" s="165" t="s">
        <v>1663</v>
      </c>
      <c r="F89" s="165" t="s">
        <v>1664</v>
      </c>
      <c r="G89" s="165" t="s">
        <v>1475</v>
      </c>
      <c r="H89" s="165"/>
      <c r="I89" s="143" t="s">
        <v>1323</v>
      </c>
      <c r="J89" s="143" t="s">
        <v>1329</v>
      </c>
      <c r="K89" s="143"/>
      <c r="L89" s="143"/>
      <c r="M89" s="143"/>
      <c r="N89" s="143"/>
      <c r="O89" s="143"/>
      <c r="P89" s="143"/>
      <c r="Q89" s="143"/>
      <c r="R89" s="143"/>
    </row>
    <row r="90" spans="1:18" ht="39.75" customHeight="1" x14ac:dyDescent="0.25">
      <c r="A90" s="139"/>
      <c r="B90" s="148">
        <v>4714</v>
      </c>
      <c r="C90" s="143">
        <v>2019</v>
      </c>
      <c r="D90" s="148" t="s">
        <v>1665</v>
      </c>
      <c r="E90" s="165" t="s">
        <v>1666</v>
      </c>
      <c r="F90" s="165" t="s">
        <v>1667</v>
      </c>
      <c r="G90" s="165" t="s">
        <v>1475</v>
      </c>
      <c r="H90" s="165"/>
      <c r="I90" s="143" t="s">
        <v>1323</v>
      </c>
      <c r="J90" s="143" t="s">
        <v>1329</v>
      </c>
      <c r="K90" s="143"/>
      <c r="L90" s="143"/>
      <c r="M90" s="143"/>
      <c r="N90" s="143"/>
      <c r="O90" s="143"/>
      <c r="P90" s="143"/>
      <c r="Q90" s="143"/>
      <c r="R90" s="143"/>
    </row>
    <row r="91" spans="1:18" ht="39.75" customHeight="1" x14ac:dyDescent="0.25">
      <c r="A91" s="139"/>
      <c r="B91" s="148">
        <v>18216</v>
      </c>
      <c r="C91" s="143">
        <v>2019</v>
      </c>
      <c r="D91" s="148" t="s">
        <v>1668</v>
      </c>
      <c r="E91" s="165" t="s">
        <v>1669</v>
      </c>
      <c r="F91" s="165" t="s">
        <v>1670</v>
      </c>
      <c r="G91" s="165" t="s">
        <v>502</v>
      </c>
      <c r="H91" s="165"/>
      <c r="I91" s="143" t="s">
        <v>1323</v>
      </c>
      <c r="J91" s="143" t="s">
        <v>1329</v>
      </c>
      <c r="K91" s="143"/>
      <c r="L91" s="143"/>
      <c r="M91" s="143"/>
      <c r="N91" s="143"/>
      <c r="O91" s="143"/>
      <c r="P91" s="143"/>
      <c r="Q91" s="143"/>
      <c r="R91" s="143"/>
    </row>
    <row r="92" spans="1:18" ht="39.75" customHeight="1" x14ac:dyDescent="0.25">
      <c r="A92" s="139"/>
      <c r="B92" s="148">
        <v>3631</v>
      </c>
      <c r="C92" s="143">
        <v>2020</v>
      </c>
      <c r="D92" s="148" t="s">
        <v>1671</v>
      </c>
      <c r="E92" s="165" t="s">
        <v>1672</v>
      </c>
      <c r="F92" s="165" t="s">
        <v>1673</v>
      </c>
      <c r="G92" s="165" t="s">
        <v>1475</v>
      </c>
      <c r="H92" s="165"/>
      <c r="I92" s="143" t="s">
        <v>1323</v>
      </c>
      <c r="J92" s="143" t="s">
        <v>1329</v>
      </c>
      <c r="K92" s="143"/>
      <c r="L92" s="143"/>
      <c r="M92" s="143"/>
      <c r="N92" s="143"/>
      <c r="O92" s="143"/>
      <c r="P92" s="143"/>
      <c r="Q92" s="143"/>
      <c r="R92" s="143"/>
    </row>
    <row r="93" spans="1:18" ht="39.75" customHeight="1" x14ac:dyDescent="0.25">
      <c r="A93" s="139"/>
      <c r="B93" s="148">
        <v>5975</v>
      </c>
      <c r="C93" s="143">
        <v>2021</v>
      </c>
      <c r="D93" s="148" t="s">
        <v>1674</v>
      </c>
      <c r="E93" s="165" t="s">
        <v>1675</v>
      </c>
      <c r="F93" s="165" t="s">
        <v>1676</v>
      </c>
      <c r="G93" s="165" t="s">
        <v>1475</v>
      </c>
      <c r="H93" s="165"/>
      <c r="I93" s="143" t="s">
        <v>1323</v>
      </c>
      <c r="J93" s="143" t="s">
        <v>1329</v>
      </c>
      <c r="K93" s="143"/>
      <c r="L93" s="143"/>
      <c r="M93" s="143"/>
      <c r="N93" s="143"/>
      <c r="O93" s="143"/>
      <c r="P93" s="143"/>
      <c r="Q93" s="143"/>
      <c r="R93" s="143"/>
    </row>
    <row r="94" spans="1:18" ht="39.75" customHeight="1" x14ac:dyDescent="0.25">
      <c r="A94" s="139"/>
      <c r="B94" s="148">
        <v>5036</v>
      </c>
      <c r="C94" s="143">
        <v>2019</v>
      </c>
      <c r="D94" s="148" t="s">
        <v>1399</v>
      </c>
      <c r="E94" s="165" t="s">
        <v>1677</v>
      </c>
      <c r="F94" s="165" t="s">
        <v>1678</v>
      </c>
      <c r="G94" s="165" t="s">
        <v>1475</v>
      </c>
      <c r="H94" s="165"/>
      <c r="I94" s="143" t="s">
        <v>1323</v>
      </c>
      <c r="J94" s="143" t="s">
        <v>1329</v>
      </c>
      <c r="K94" s="143"/>
      <c r="L94" s="143"/>
      <c r="M94" s="143"/>
      <c r="N94" s="143"/>
      <c r="O94" s="143"/>
      <c r="P94" s="143"/>
      <c r="Q94" s="143"/>
      <c r="R94" s="143"/>
    </row>
    <row r="95" spans="1:18" ht="39.75" customHeight="1" x14ac:dyDescent="0.25">
      <c r="A95" s="139"/>
      <c r="B95" s="148">
        <v>186</v>
      </c>
      <c r="C95" s="143">
        <v>2020</v>
      </c>
      <c r="D95" s="148" t="s">
        <v>1386</v>
      </c>
      <c r="E95" s="165" t="s">
        <v>1679</v>
      </c>
      <c r="F95" s="165" t="s">
        <v>1680</v>
      </c>
      <c r="G95" s="165" t="s">
        <v>193</v>
      </c>
      <c r="H95" s="165"/>
      <c r="I95" s="143" t="s">
        <v>1323</v>
      </c>
      <c r="J95" s="143" t="s">
        <v>1329</v>
      </c>
      <c r="K95" s="143"/>
      <c r="L95" s="143"/>
      <c r="M95" s="143"/>
      <c r="N95" s="143"/>
      <c r="O95" s="143"/>
      <c r="P95" s="143"/>
      <c r="Q95" s="143"/>
      <c r="R95" s="143"/>
    </row>
    <row r="96" spans="1:18" ht="39.75" customHeight="1" x14ac:dyDescent="0.25">
      <c r="A96" s="139"/>
      <c r="B96" s="148">
        <v>2</v>
      </c>
      <c r="C96" s="143">
        <v>2018</v>
      </c>
      <c r="D96" s="148" t="s">
        <v>1681</v>
      </c>
      <c r="E96" s="165" t="s">
        <v>1679</v>
      </c>
      <c r="F96" s="165" t="s">
        <v>1680</v>
      </c>
      <c r="G96" s="165" t="s">
        <v>193</v>
      </c>
      <c r="H96" s="165"/>
      <c r="I96" s="143" t="s">
        <v>1323</v>
      </c>
      <c r="J96" s="143" t="s">
        <v>1329</v>
      </c>
      <c r="K96" s="143"/>
      <c r="L96" s="143"/>
      <c r="M96" s="143"/>
      <c r="N96" s="143"/>
      <c r="O96" s="143"/>
      <c r="P96" s="143"/>
      <c r="Q96" s="143"/>
      <c r="R96" s="143"/>
    </row>
    <row r="97" spans="1:18" ht="39.75" customHeight="1" x14ac:dyDescent="0.25">
      <c r="A97" s="139"/>
      <c r="B97" s="148">
        <v>5307</v>
      </c>
      <c r="C97" s="143">
        <v>2020</v>
      </c>
      <c r="D97" s="148" t="s">
        <v>1682</v>
      </c>
      <c r="E97" s="165" t="s">
        <v>1683</v>
      </c>
      <c r="F97" s="165" t="s">
        <v>1650</v>
      </c>
      <c r="G97" s="165" t="s">
        <v>1475</v>
      </c>
      <c r="H97" s="165"/>
      <c r="I97" s="143" t="s">
        <v>1323</v>
      </c>
      <c r="J97" s="143" t="s">
        <v>1329</v>
      </c>
      <c r="K97" s="143"/>
      <c r="L97" s="143"/>
      <c r="M97" s="143"/>
      <c r="N97" s="143"/>
      <c r="O97" s="143"/>
      <c r="P97" s="143"/>
      <c r="Q97" s="143"/>
      <c r="R97" s="143"/>
    </row>
    <row r="98" spans="1:18" ht="39.75" customHeight="1" x14ac:dyDescent="0.25">
      <c r="A98" s="139"/>
      <c r="B98" s="148">
        <v>5308</v>
      </c>
      <c r="C98" s="143">
        <v>2020</v>
      </c>
      <c r="D98" s="148" t="s">
        <v>1684</v>
      </c>
      <c r="E98" s="165" t="s">
        <v>1683</v>
      </c>
      <c r="F98" s="165" t="s">
        <v>1648</v>
      </c>
      <c r="G98" s="165" t="s">
        <v>1475</v>
      </c>
      <c r="H98" s="165"/>
      <c r="I98" s="143" t="s">
        <v>1323</v>
      </c>
      <c r="J98" s="143" t="s">
        <v>1329</v>
      </c>
      <c r="K98" s="143"/>
      <c r="L98" s="143"/>
      <c r="M98" s="143"/>
      <c r="N98" s="143"/>
      <c r="O98" s="143"/>
      <c r="P98" s="143"/>
      <c r="Q98" s="143"/>
      <c r="R98" s="143"/>
    </row>
    <row r="99" spans="1:18" ht="39.75" customHeight="1" x14ac:dyDescent="0.25">
      <c r="A99" s="139"/>
      <c r="B99" s="148">
        <v>4142</v>
      </c>
      <c r="C99" s="143">
        <v>2018</v>
      </c>
      <c r="D99" s="148" t="s">
        <v>1685</v>
      </c>
      <c r="E99" s="165" t="s">
        <v>1686</v>
      </c>
      <c r="F99" s="165" t="s">
        <v>1656</v>
      </c>
      <c r="G99" s="165" t="s">
        <v>1475</v>
      </c>
      <c r="H99" s="165"/>
      <c r="I99" s="143" t="s">
        <v>1323</v>
      </c>
      <c r="J99" s="143" t="s">
        <v>1329</v>
      </c>
      <c r="K99" s="143"/>
      <c r="L99" s="143"/>
      <c r="M99" s="143"/>
      <c r="N99" s="143"/>
      <c r="O99" s="143"/>
      <c r="P99" s="143"/>
      <c r="Q99" s="143"/>
      <c r="R99" s="143"/>
    </row>
    <row r="100" spans="1:18" ht="39.75" customHeight="1" x14ac:dyDescent="0.25">
      <c r="A100" s="139"/>
      <c r="B100" s="148">
        <v>4717</v>
      </c>
      <c r="C100" s="143">
        <v>2019</v>
      </c>
      <c r="D100" s="148" t="s">
        <v>1687</v>
      </c>
      <c r="E100" s="165" t="s">
        <v>1688</v>
      </c>
      <c r="F100" s="165" t="s">
        <v>1639</v>
      </c>
      <c r="G100" s="165" t="s">
        <v>1475</v>
      </c>
      <c r="H100" s="165"/>
      <c r="I100" s="143" t="s">
        <v>1323</v>
      </c>
      <c r="J100" s="143" t="s">
        <v>1329</v>
      </c>
      <c r="K100" s="143"/>
      <c r="L100" s="143"/>
      <c r="M100" s="143"/>
      <c r="N100" s="143"/>
      <c r="O100" s="143"/>
      <c r="P100" s="143"/>
      <c r="Q100" s="143"/>
      <c r="R100" s="143"/>
    </row>
    <row r="101" spans="1:18" ht="39.75" customHeight="1" x14ac:dyDescent="0.25">
      <c r="A101" s="139"/>
      <c r="B101" s="148">
        <v>5015</v>
      </c>
      <c r="C101" s="143">
        <v>2019</v>
      </c>
      <c r="D101" s="148" t="s">
        <v>1689</v>
      </c>
      <c r="E101" s="165" t="s">
        <v>1690</v>
      </c>
      <c r="F101" s="165" t="s">
        <v>1691</v>
      </c>
      <c r="G101" s="165" t="s">
        <v>1475</v>
      </c>
      <c r="H101" s="165"/>
      <c r="I101" s="143" t="s">
        <v>1323</v>
      </c>
      <c r="J101" s="143" t="s">
        <v>1329</v>
      </c>
      <c r="K101" s="143"/>
      <c r="L101" s="143"/>
      <c r="M101" s="143"/>
      <c r="N101" s="143"/>
      <c r="O101" s="143"/>
      <c r="P101" s="143"/>
      <c r="Q101" s="143"/>
      <c r="R101" s="143"/>
    </row>
    <row r="102" spans="1:18" ht="39.75" customHeight="1" x14ac:dyDescent="0.25">
      <c r="A102" s="139"/>
      <c r="B102" s="148">
        <v>5647</v>
      </c>
      <c r="C102" s="143">
        <v>2020</v>
      </c>
      <c r="D102" s="148" t="s">
        <v>1692</v>
      </c>
      <c r="E102" s="165" t="s">
        <v>1693</v>
      </c>
      <c r="F102" s="165" t="s">
        <v>1694</v>
      </c>
      <c r="G102" s="165" t="s">
        <v>1475</v>
      </c>
      <c r="H102" s="165"/>
      <c r="I102" s="143" t="s">
        <v>1323</v>
      </c>
      <c r="J102" s="143" t="s">
        <v>1329</v>
      </c>
      <c r="K102" s="143"/>
      <c r="L102" s="143"/>
      <c r="M102" s="143"/>
      <c r="N102" s="143"/>
      <c r="O102" s="143"/>
      <c r="P102" s="143"/>
      <c r="Q102" s="143"/>
      <c r="R102" s="143"/>
    </row>
    <row r="103" spans="1:18" ht="39.75" customHeight="1" x14ac:dyDescent="0.25">
      <c r="A103" s="139"/>
      <c r="B103" s="148">
        <v>21</v>
      </c>
      <c r="C103" s="143">
        <v>2018</v>
      </c>
      <c r="D103" s="148" t="s">
        <v>1695</v>
      </c>
      <c r="E103" s="165" t="s">
        <v>1696</v>
      </c>
      <c r="F103" s="165" t="s">
        <v>1697</v>
      </c>
      <c r="G103" s="165" t="s">
        <v>1698</v>
      </c>
      <c r="H103" s="165"/>
      <c r="I103" s="143" t="s">
        <v>1323</v>
      </c>
      <c r="J103" s="143" t="s">
        <v>1329</v>
      </c>
      <c r="K103" s="143"/>
      <c r="L103" s="143"/>
      <c r="M103" s="143"/>
      <c r="N103" s="143"/>
      <c r="O103" s="143"/>
      <c r="P103" s="143"/>
      <c r="Q103" s="143"/>
      <c r="R103" s="143"/>
    </row>
    <row r="104" spans="1:18" ht="39.75" customHeight="1" x14ac:dyDescent="0.25">
      <c r="A104" s="139"/>
      <c r="B104" s="148">
        <v>5074</v>
      </c>
      <c r="C104" s="143">
        <v>2018</v>
      </c>
      <c r="D104" s="148" t="s">
        <v>1699</v>
      </c>
      <c r="E104" s="165" t="s">
        <v>1700</v>
      </c>
      <c r="F104" s="165" t="s">
        <v>1701</v>
      </c>
      <c r="G104" s="165" t="s">
        <v>81</v>
      </c>
      <c r="H104" s="165"/>
      <c r="I104" s="143" t="s">
        <v>1323</v>
      </c>
      <c r="J104" s="143" t="s">
        <v>1329</v>
      </c>
      <c r="K104" s="143"/>
      <c r="L104" s="143"/>
      <c r="M104" s="143"/>
      <c r="N104" s="143"/>
      <c r="O104" s="143"/>
      <c r="P104" s="143"/>
      <c r="Q104" s="143"/>
      <c r="R104" s="143"/>
    </row>
    <row r="105" spans="1:18" ht="39.75" customHeight="1" x14ac:dyDescent="0.25">
      <c r="A105" s="139"/>
      <c r="B105" s="148">
        <v>3147</v>
      </c>
      <c r="C105" s="143">
        <v>2020</v>
      </c>
      <c r="D105" s="148" t="s">
        <v>1420</v>
      </c>
      <c r="E105" s="165" t="s">
        <v>1702</v>
      </c>
      <c r="F105" s="165" t="s">
        <v>1703</v>
      </c>
      <c r="G105" s="165" t="s">
        <v>81</v>
      </c>
      <c r="H105" s="165"/>
      <c r="I105" s="143" t="s">
        <v>1323</v>
      </c>
      <c r="J105" s="143" t="s">
        <v>1329</v>
      </c>
      <c r="K105" s="143"/>
      <c r="L105" s="143"/>
      <c r="M105" s="143"/>
      <c r="N105" s="143"/>
      <c r="O105" s="143"/>
      <c r="P105" s="143"/>
      <c r="Q105" s="143"/>
      <c r="R105" s="143"/>
    </row>
    <row r="106" spans="1:18" ht="39.75" customHeight="1" x14ac:dyDescent="0.25">
      <c r="A106" s="139"/>
      <c r="B106" s="148">
        <v>22</v>
      </c>
      <c r="C106" s="143">
        <v>2020</v>
      </c>
      <c r="D106" s="148" t="s">
        <v>1704</v>
      </c>
      <c r="E106" s="165" t="s">
        <v>1705</v>
      </c>
      <c r="F106" s="165" t="s">
        <v>1706</v>
      </c>
      <c r="G106" s="165" t="s">
        <v>1619</v>
      </c>
      <c r="H106" s="165"/>
      <c r="I106" s="143" t="s">
        <v>1323</v>
      </c>
      <c r="J106" s="143" t="s">
        <v>1329</v>
      </c>
      <c r="K106" s="143"/>
      <c r="L106" s="143"/>
      <c r="M106" s="143"/>
      <c r="N106" s="143"/>
      <c r="O106" s="143"/>
      <c r="P106" s="143"/>
      <c r="Q106" s="143"/>
      <c r="R106" s="143"/>
    </row>
    <row r="107" spans="1:18" ht="39.75" customHeight="1" x14ac:dyDescent="0.25">
      <c r="A107" s="139"/>
      <c r="B107" s="148">
        <v>64</v>
      </c>
      <c r="C107" s="143">
        <v>2019</v>
      </c>
      <c r="D107" s="148" t="s">
        <v>1707</v>
      </c>
      <c r="E107" s="165" t="s">
        <v>1708</v>
      </c>
      <c r="F107" s="165" t="s">
        <v>1709</v>
      </c>
      <c r="G107" s="165" t="s">
        <v>1619</v>
      </c>
      <c r="H107" s="165"/>
      <c r="I107" s="143" t="s">
        <v>1323</v>
      </c>
      <c r="J107" s="143" t="s">
        <v>1329</v>
      </c>
      <c r="K107" s="143"/>
      <c r="L107" s="143"/>
      <c r="M107" s="143"/>
      <c r="N107" s="143"/>
      <c r="O107" s="143"/>
      <c r="P107" s="143"/>
      <c r="Q107" s="143"/>
      <c r="R107" s="143"/>
    </row>
    <row r="108" spans="1:18" ht="39.75" customHeight="1" x14ac:dyDescent="0.25">
      <c r="A108" s="139"/>
      <c r="B108" s="148">
        <v>43</v>
      </c>
      <c r="C108" s="143">
        <v>2020</v>
      </c>
      <c r="D108" s="148" t="s">
        <v>1710</v>
      </c>
      <c r="E108" s="165" t="s">
        <v>1711</v>
      </c>
      <c r="F108" s="165" t="s">
        <v>1712</v>
      </c>
      <c r="G108" s="165" t="s">
        <v>1713</v>
      </c>
      <c r="H108" s="165"/>
      <c r="I108" s="143" t="s">
        <v>1323</v>
      </c>
      <c r="J108" s="143" t="s">
        <v>1329</v>
      </c>
      <c r="K108" s="143"/>
      <c r="L108" s="143"/>
      <c r="M108" s="143"/>
      <c r="N108" s="143"/>
      <c r="O108" s="143"/>
      <c r="P108" s="143"/>
      <c r="Q108" s="143"/>
      <c r="R108" s="143"/>
    </row>
    <row r="109" spans="1:18" ht="39.75" customHeight="1" x14ac:dyDescent="0.25">
      <c r="A109" s="139"/>
      <c r="B109" s="148">
        <v>13</v>
      </c>
      <c r="C109" s="143">
        <v>2018</v>
      </c>
      <c r="D109" s="148" t="s">
        <v>1714</v>
      </c>
      <c r="E109" s="165" t="s">
        <v>1715</v>
      </c>
      <c r="F109" s="165" t="s">
        <v>1716</v>
      </c>
      <c r="G109" s="165" t="s">
        <v>402</v>
      </c>
      <c r="H109" s="165"/>
      <c r="I109" s="143" t="s">
        <v>1323</v>
      </c>
      <c r="J109" s="143" t="s">
        <v>1329</v>
      </c>
      <c r="K109" s="143"/>
      <c r="L109" s="143"/>
      <c r="M109" s="143"/>
      <c r="N109" s="143"/>
      <c r="O109" s="143"/>
      <c r="P109" s="143"/>
      <c r="Q109" s="143"/>
      <c r="R109" s="143"/>
    </row>
    <row r="110" spans="1:18" ht="39.75" customHeight="1" x14ac:dyDescent="0.25">
      <c r="A110" s="139"/>
      <c r="B110" s="148">
        <v>13</v>
      </c>
      <c r="C110" s="143">
        <v>2018</v>
      </c>
      <c r="D110" s="148" t="s">
        <v>1717</v>
      </c>
      <c r="E110" s="165" t="s">
        <v>1718</v>
      </c>
      <c r="F110" s="165" t="s">
        <v>1719</v>
      </c>
      <c r="G110" s="165" t="s">
        <v>1713</v>
      </c>
      <c r="H110" s="165"/>
      <c r="I110" s="143" t="s">
        <v>1323</v>
      </c>
      <c r="J110" s="143" t="s">
        <v>1329</v>
      </c>
      <c r="K110" s="143"/>
      <c r="L110" s="143"/>
      <c r="M110" s="143"/>
      <c r="N110" s="143"/>
      <c r="O110" s="143"/>
      <c r="P110" s="143"/>
      <c r="Q110" s="143"/>
      <c r="R110" s="143"/>
    </row>
    <row r="111" spans="1:18" ht="39.75" customHeight="1" x14ac:dyDescent="0.25">
      <c r="A111" s="139"/>
      <c r="B111" s="148">
        <v>4230</v>
      </c>
      <c r="C111" s="143">
        <v>2018</v>
      </c>
      <c r="D111" s="148" t="s">
        <v>1720</v>
      </c>
      <c r="E111" s="165" t="s">
        <v>1721</v>
      </c>
      <c r="F111" s="165" t="s">
        <v>1722</v>
      </c>
      <c r="G111" s="165" t="s">
        <v>1475</v>
      </c>
      <c r="H111" s="165"/>
      <c r="I111" s="143" t="s">
        <v>1323</v>
      </c>
      <c r="J111" s="143" t="s">
        <v>1329</v>
      </c>
      <c r="K111" s="143"/>
      <c r="L111" s="143"/>
      <c r="M111" s="143"/>
      <c r="N111" s="143"/>
      <c r="O111" s="143"/>
      <c r="P111" s="143"/>
      <c r="Q111" s="143"/>
      <c r="R111" s="143"/>
    </row>
    <row r="112" spans="1:18" ht="39.75" customHeight="1" x14ac:dyDescent="0.25">
      <c r="A112" s="139"/>
      <c r="B112" s="148">
        <v>5804</v>
      </c>
      <c r="C112" s="143">
        <v>2019</v>
      </c>
      <c r="D112" s="148" t="s">
        <v>1723</v>
      </c>
      <c r="E112" s="165" t="s">
        <v>1724</v>
      </c>
      <c r="F112" s="165" t="s">
        <v>1725</v>
      </c>
      <c r="G112" s="165" t="s">
        <v>1475</v>
      </c>
      <c r="H112" s="165"/>
      <c r="I112" s="143" t="s">
        <v>417</v>
      </c>
      <c r="J112" s="143" t="s">
        <v>112</v>
      </c>
      <c r="K112" s="143"/>
      <c r="L112" s="143"/>
      <c r="M112" s="143"/>
      <c r="N112" s="143"/>
      <c r="O112" s="143"/>
      <c r="P112" s="143"/>
      <c r="Q112" s="143"/>
      <c r="R112" s="143"/>
    </row>
    <row r="113" spans="1:26" ht="39.75" customHeight="1" x14ac:dyDescent="0.25">
      <c r="A113" s="139"/>
      <c r="B113" s="148">
        <v>3561</v>
      </c>
      <c r="C113" s="143">
        <v>2015</v>
      </c>
      <c r="D113" s="148" t="s">
        <v>1726</v>
      </c>
      <c r="E113" s="165" t="s">
        <v>1727</v>
      </c>
      <c r="F113" s="165" t="s">
        <v>1728</v>
      </c>
      <c r="G113" s="165" t="s">
        <v>1475</v>
      </c>
      <c r="H113" s="165"/>
      <c r="I113" s="143" t="s">
        <v>417</v>
      </c>
      <c r="J113" s="143" t="s">
        <v>19</v>
      </c>
      <c r="K113" s="143"/>
      <c r="L113" s="143"/>
      <c r="M113" s="143"/>
      <c r="N113" s="143"/>
      <c r="O113" s="143"/>
      <c r="P113" s="143"/>
      <c r="Q113" s="143"/>
      <c r="R113" s="143"/>
    </row>
    <row r="114" spans="1:26" ht="34.5" customHeight="1" x14ac:dyDescent="0.35">
      <c r="A114" s="166">
        <v>65</v>
      </c>
      <c r="B114" s="167">
        <v>42118</v>
      </c>
      <c r="C114" s="155">
        <v>2017</v>
      </c>
      <c r="D114" s="168" t="s">
        <v>1072</v>
      </c>
      <c r="E114" s="157" t="s">
        <v>1729</v>
      </c>
      <c r="F114" s="157" t="s">
        <v>1730</v>
      </c>
      <c r="G114" s="157" t="s">
        <v>189</v>
      </c>
      <c r="H114" s="157" t="s">
        <v>407</v>
      </c>
      <c r="I114" s="157" t="s">
        <v>417</v>
      </c>
      <c r="J114" s="157" t="s">
        <v>19</v>
      </c>
      <c r="K114" s="157" t="s">
        <v>1731</v>
      </c>
      <c r="L114" s="159" t="s">
        <v>262</v>
      </c>
      <c r="M114" s="159">
        <v>45005</v>
      </c>
      <c r="N114" s="159"/>
      <c r="O114" s="159"/>
      <c r="P114" s="160">
        <v>44593</v>
      </c>
      <c r="Q114" s="159">
        <v>44915</v>
      </c>
      <c r="R114" s="169" t="str">
        <f t="shared" ref="R114:R115" ca="1" si="0">IF(M114&gt;TODAY(),"Válida",IF(ISBLANK(M114),"Andamento",IF(M114&lt;TODAY(),"Vencida",IF(M114-TODAY()&lt;90,"URGENTE",IF(M114-TODAY()&lt;150,"RENOVAÇÃO",)))))</f>
        <v>Vencida</v>
      </c>
      <c r="S114" s="170">
        <f t="shared" ref="S114:S115" ca="1" si="1">M114-(NOW())</f>
        <v>-1103.3954884259292</v>
      </c>
      <c r="T114" s="169" t="str">
        <f t="shared" ref="T114:T115" ca="1" si="2">IF(M114-TODAY()&gt;150,"Válida",IF(ISBLANK(M114),"Aguardando",IF(M114&lt;TODAY(),"Vencida",IF(M114-TODAY()&lt;90,"URGENTE",IF(M114-TODAY()&lt;150,"RENOVAÇÃO",)))))</f>
        <v>Vencida</v>
      </c>
      <c r="U114" s="163"/>
      <c r="V114" s="159"/>
      <c r="W114" s="159"/>
      <c r="X114" s="164"/>
      <c r="Y114" s="164"/>
      <c r="Z114" s="156" t="s">
        <v>1732</v>
      </c>
    </row>
    <row r="115" spans="1:26" ht="34.5" customHeight="1" x14ac:dyDescent="0.35">
      <c r="A115" s="166">
        <v>65</v>
      </c>
      <c r="B115" s="167" t="s">
        <v>1733</v>
      </c>
      <c r="C115" s="155">
        <v>2020</v>
      </c>
      <c r="D115" s="168" t="s">
        <v>1734</v>
      </c>
      <c r="E115" s="157" t="s">
        <v>1735</v>
      </c>
      <c r="F115" s="157" t="s">
        <v>1736</v>
      </c>
      <c r="G115" s="157" t="s">
        <v>189</v>
      </c>
      <c r="H115" s="157" t="s">
        <v>48</v>
      </c>
      <c r="I115" s="157" t="s">
        <v>417</v>
      </c>
      <c r="J115" s="157" t="s">
        <v>19</v>
      </c>
      <c r="K115" s="157" t="s">
        <v>628</v>
      </c>
      <c r="L115" s="159" t="s">
        <v>21</v>
      </c>
      <c r="M115" s="159">
        <v>44721</v>
      </c>
      <c r="N115" s="159"/>
      <c r="O115" s="159"/>
      <c r="P115" s="160"/>
      <c r="Q115" s="159">
        <v>44601</v>
      </c>
      <c r="R115" s="169" t="str">
        <f t="shared" ca="1" si="0"/>
        <v>Vencida</v>
      </c>
      <c r="S115" s="170">
        <f t="shared" ca="1" si="1"/>
        <v>-1387.3954884259292</v>
      </c>
      <c r="T115" s="169" t="str">
        <f t="shared" ca="1" si="2"/>
        <v>Vencida</v>
      </c>
      <c r="U115" s="171"/>
      <c r="V115" s="159"/>
      <c r="W115" s="159"/>
      <c r="X115" s="164"/>
      <c r="Y115" s="164"/>
      <c r="Z115" s="156" t="s">
        <v>1629</v>
      </c>
    </row>
    <row r="116" spans="1:26" ht="15.75" customHeight="1" x14ac:dyDescent="0.25">
      <c r="A116" s="140"/>
      <c r="B116" s="172"/>
      <c r="D116" s="172"/>
      <c r="E116" s="173"/>
      <c r="F116" s="173"/>
      <c r="G116" s="173"/>
      <c r="H116" s="173"/>
    </row>
    <row r="117" spans="1:26" ht="15.75" customHeight="1" x14ac:dyDescent="0.25">
      <c r="A117" s="140"/>
      <c r="B117" s="172"/>
      <c r="D117" s="172"/>
      <c r="E117" s="173"/>
      <c r="F117" s="173"/>
      <c r="G117" s="173"/>
      <c r="H117" s="173"/>
    </row>
    <row r="118" spans="1:26" ht="15.75" customHeight="1" x14ac:dyDescent="0.25">
      <c r="A118" s="140"/>
      <c r="B118" s="172"/>
      <c r="D118" s="172"/>
      <c r="E118" s="173"/>
      <c r="F118" s="173"/>
      <c r="G118" s="173"/>
      <c r="H118" s="173"/>
    </row>
    <row r="119" spans="1:26" ht="39.75" customHeight="1" x14ac:dyDescent="0.4">
      <c r="A119" s="174"/>
      <c r="B119" s="175">
        <v>196</v>
      </c>
      <c r="C119" s="176">
        <v>2017</v>
      </c>
      <c r="D119" s="177" t="s">
        <v>1737</v>
      </c>
      <c r="E119" s="178" t="s">
        <v>1738</v>
      </c>
      <c r="F119" s="178" t="s">
        <v>1739</v>
      </c>
      <c r="G119" s="178" t="s">
        <v>1740</v>
      </c>
      <c r="H119" s="178" t="s">
        <v>1741</v>
      </c>
      <c r="I119" s="158" t="s">
        <v>18</v>
      </c>
      <c r="J119" s="178" t="s">
        <v>19</v>
      </c>
      <c r="K119" s="178" t="s">
        <v>1156</v>
      </c>
      <c r="L119" s="179" t="s">
        <v>21</v>
      </c>
      <c r="M119" s="179">
        <v>43409</v>
      </c>
      <c r="N119" s="180">
        <v>43501</v>
      </c>
      <c r="O119" s="179">
        <v>43286</v>
      </c>
      <c r="P119" s="161" t="str">
        <f t="shared" ref="P119:P121" ca="1" si="3">IF(M119&gt;TODAY(),"Válida",IF(ISBLANK(M119),"Andamento",IF(M119&lt;TODAY(),"Vencida",IF(K119-TODAY()&lt;90,"URGENTE",IF(K119-TODAY()&lt;150,"RENOVAÇÃO",)))))</f>
        <v>Vencida</v>
      </c>
      <c r="Q119" s="178"/>
      <c r="R119" s="161" t="str">
        <f t="shared" ref="R119:R121" ca="1" si="4">IF(M119-TODAY()&gt;150,"Válida",IF(ISBLANK(M119),"Aguardando",IF(M119&lt;TODAY(),"Vencida",IF(M119-TODAY()&lt;90,"URGENTE",IF(M119-TODAY()&lt;150,"RENOVAÇÃO",)))))</f>
        <v>Vencida</v>
      </c>
      <c r="S119" s="181"/>
      <c r="T119" s="179"/>
      <c r="U119" s="179"/>
      <c r="V119" s="164"/>
      <c r="W119" s="164"/>
      <c r="X119" s="177" t="s">
        <v>1742</v>
      </c>
    </row>
    <row r="120" spans="1:26" ht="39.75" customHeight="1" x14ac:dyDescent="0.4">
      <c r="A120" s="174"/>
      <c r="B120" s="175">
        <v>3687</v>
      </c>
      <c r="C120" s="176">
        <v>2018</v>
      </c>
      <c r="D120" s="177" t="s">
        <v>1743</v>
      </c>
      <c r="E120" s="178" t="s">
        <v>1738</v>
      </c>
      <c r="F120" s="178" t="s">
        <v>1739</v>
      </c>
      <c r="G120" s="178" t="s">
        <v>1298</v>
      </c>
      <c r="H120" s="178" t="s">
        <v>1741</v>
      </c>
      <c r="I120" s="158" t="s">
        <v>18</v>
      </c>
      <c r="J120" s="178" t="s">
        <v>19</v>
      </c>
      <c r="K120" s="178" t="s">
        <v>1156</v>
      </c>
      <c r="L120" s="182" t="s">
        <v>262</v>
      </c>
      <c r="M120" s="183"/>
      <c r="N120" s="184"/>
      <c r="O120" s="183"/>
      <c r="P120" s="161" t="str">
        <f t="shared" ca="1" si="3"/>
        <v>Andamento</v>
      </c>
      <c r="Q120" s="178"/>
      <c r="R120" s="161" t="str">
        <f t="shared" ca="1" si="4"/>
        <v>Aguardando</v>
      </c>
      <c r="S120" s="185"/>
      <c r="T120" s="183"/>
      <c r="U120" s="183">
        <v>43383</v>
      </c>
      <c r="V120" s="164"/>
      <c r="W120" s="164">
        <f ca="1">DAYS360(U120,TODAY())</f>
        <v>2687</v>
      </c>
      <c r="X120" s="177" t="s">
        <v>1744</v>
      </c>
    </row>
    <row r="121" spans="1:26" ht="39.75" customHeight="1" x14ac:dyDescent="0.4">
      <c r="A121" s="154"/>
      <c r="B121" s="186">
        <v>16632</v>
      </c>
      <c r="C121" s="155">
        <v>2016</v>
      </c>
      <c r="D121" s="156" t="s">
        <v>1745</v>
      </c>
      <c r="E121" s="157" t="s">
        <v>1746</v>
      </c>
      <c r="F121" s="157" t="s">
        <v>1746</v>
      </c>
      <c r="G121" s="157" t="s">
        <v>104</v>
      </c>
      <c r="H121" s="157" t="s">
        <v>416</v>
      </c>
      <c r="I121" s="158" t="s">
        <v>18</v>
      </c>
      <c r="J121" s="157" t="s">
        <v>40</v>
      </c>
      <c r="K121" s="157" t="s">
        <v>1747</v>
      </c>
      <c r="L121" s="157" t="s">
        <v>262</v>
      </c>
      <c r="M121" s="159" t="s">
        <v>1748</v>
      </c>
      <c r="N121" s="160"/>
      <c r="O121" s="159" t="s">
        <v>1749</v>
      </c>
      <c r="P121" s="161" t="str">
        <f t="shared" ca="1" si="3"/>
        <v>Válida</v>
      </c>
      <c r="Q121" s="157"/>
      <c r="R121" s="161" t="str">
        <f t="shared" ca="1" si="4"/>
        <v>URGENTE</v>
      </c>
      <c r="S121" s="163"/>
      <c r="T121" s="159"/>
      <c r="U121" s="159"/>
      <c r="V121" s="164"/>
      <c r="W121" s="164"/>
      <c r="X121" s="156" t="s">
        <v>1750</v>
      </c>
    </row>
    <row r="122" spans="1:26" ht="15.75" customHeight="1" x14ac:dyDescent="0.25">
      <c r="A122" s="140"/>
      <c r="B122" s="172"/>
      <c r="D122" s="172"/>
      <c r="E122" s="173"/>
      <c r="F122" s="173"/>
      <c r="G122" s="173"/>
      <c r="H122" s="173"/>
    </row>
    <row r="123" spans="1:26" ht="15.75" customHeight="1" x14ac:dyDescent="0.25">
      <c r="A123" s="140"/>
      <c r="B123" s="172"/>
      <c r="D123" s="172"/>
      <c r="E123" s="173"/>
      <c r="F123" s="173"/>
      <c r="G123" s="173"/>
      <c r="H123" s="173"/>
    </row>
    <row r="124" spans="1:26" ht="15.75" customHeight="1" x14ac:dyDescent="0.25">
      <c r="A124" s="140"/>
      <c r="B124" s="172"/>
      <c r="D124" s="172"/>
      <c r="E124" s="173"/>
      <c r="F124" s="173"/>
      <c r="G124" s="173"/>
      <c r="H124" s="173"/>
    </row>
    <row r="125" spans="1:26" ht="15.75" customHeight="1" x14ac:dyDescent="0.25">
      <c r="A125" s="140"/>
      <c r="B125" s="172"/>
      <c r="D125" s="172"/>
      <c r="E125" s="173"/>
      <c r="F125" s="173"/>
      <c r="G125" s="173"/>
      <c r="H125" s="173"/>
    </row>
    <row r="126" spans="1:26" ht="15.75" customHeight="1" x14ac:dyDescent="0.25">
      <c r="A126" s="140"/>
      <c r="B126" s="172"/>
      <c r="D126" s="172"/>
      <c r="E126" s="173"/>
      <c r="F126" s="173"/>
      <c r="G126" s="173"/>
      <c r="H126" s="173"/>
    </row>
    <row r="127" spans="1:26" ht="15.75" customHeight="1" x14ac:dyDescent="0.25">
      <c r="A127" s="140"/>
      <c r="B127" s="172"/>
      <c r="D127" s="172"/>
      <c r="E127" s="173"/>
      <c r="F127" s="173"/>
      <c r="G127" s="173"/>
      <c r="H127" s="173"/>
    </row>
    <row r="128" spans="1:26" ht="15.75" customHeight="1" x14ac:dyDescent="0.25">
      <c r="A128" s="140"/>
      <c r="B128" s="172"/>
      <c r="D128" s="172"/>
      <c r="E128" s="173"/>
      <c r="F128" s="173"/>
      <c r="G128" s="173"/>
      <c r="H128" s="173"/>
    </row>
    <row r="129" spans="1:8" ht="15.75" customHeight="1" x14ac:dyDescent="0.25">
      <c r="A129" s="140"/>
      <c r="B129" s="172"/>
      <c r="D129" s="172"/>
      <c r="E129" s="173"/>
      <c r="F129" s="173"/>
      <c r="G129" s="173"/>
      <c r="H129" s="173"/>
    </row>
    <row r="130" spans="1:8" ht="15.75" customHeight="1" x14ac:dyDescent="0.25">
      <c r="A130" s="140"/>
      <c r="B130" s="172"/>
      <c r="D130" s="172"/>
      <c r="E130" s="173"/>
      <c r="F130" s="173"/>
      <c r="G130" s="173"/>
      <c r="H130" s="173"/>
    </row>
    <row r="131" spans="1:8" ht="15.75" customHeight="1" x14ac:dyDescent="0.25">
      <c r="A131" s="140"/>
      <c r="B131" s="172"/>
      <c r="D131" s="172"/>
      <c r="E131" s="173"/>
      <c r="F131" s="173"/>
      <c r="G131" s="173"/>
      <c r="H131" s="173"/>
    </row>
    <row r="132" spans="1:8" ht="15.75" customHeight="1" x14ac:dyDescent="0.25">
      <c r="A132" s="140"/>
      <c r="B132" s="172"/>
      <c r="D132" s="172"/>
      <c r="E132" s="173"/>
      <c r="F132" s="173"/>
      <c r="G132" s="173"/>
      <c r="H132" s="173"/>
    </row>
    <row r="133" spans="1:8" ht="15.75" customHeight="1" x14ac:dyDescent="0.25">
      <c r="A133" s="140"/>
      <c r="B133" s="172"/>
      <c r="D133" s="172"/>
      <c r="E133" s="173"/>
      <c r="F133" s="173"/>
      <c r="G133" s="173"/>
      <c r="H133" s="173"/>
    </row>
    <row r="134" spans="1:8" ht="15.75" customHeight="1" x14ac:dyDescent="0.25">
      <c r="A134" s="140"/>
      <c r="B134" s="172"/>
      <c r="D134" s="172"/>
      <c r="E134" s="173"/>
      <c r="F134" s="173"/>
      <c r="G134" s="173"/>
      <c r="H134" s="173"/>
    </row>
    <row r="135" spans="1:8" ht="15.75" customHeight="1" x14ac:dyDescent="0.25">
      <c r="A135" s="140"/>
      <c r="B135" s="172"/>
      <c r="D135" s="172"/>
      <c r="E135" s="173"/>
      <c r="F135" s="173"/>
      <c r="G135" s="173"/>
      <c r="H135" s="173"/>
    </row>
    <row r="136" spans="1:8" ht="15.75" customHeight="1" x14ac:dyDescent="0.25">
      <c r="A136" s="140"/>
      <c r="B136" s="172"/>
      <c r="D136" s="172"/>
      <c r="E136" s="173"/>
      <c r="F136" s="173"/>
      <c r="G136" s="173"/>
      <c r="H136" s="173"/>
    </row>
    <row r="137" spans="1:8" ht="15.75" customHeight="1" x14ac:dyDescent="0.25">
      <c r="A137" s="140"/>
      <c r="B137" s="172"/>
      <c r="D137" s="172"/>
      <c r="E137" s="173"/>
      <c r="F137" s="173"/>
      <c r="G137" s="173"/>
      <c r="H137" s="173"/>
    </row>
    <row r="138" spans="1:8" ht="15.75" customHeight="1" x14ac:dyDescent="0.25">
      <c r="A138" s="140"/>
      <c r="B138" s="172"/>
      <c r="D138" s="172"/>
      <c r="E138" s="173"/>
      <c r="F138" s="173"/>
      <c r="G138" s="173"/>
      <c r="H138" s="173"/>
    </row>
    <row r="139" spans="1:8" ht="15.75" customHeight="1" x14ac:dyDescent="0.25">
      <c r="A139" s="140"/>
      <c r="B139" s="172"/>
      <c r="D139" s="172"/>
      <c r="E139" s="173"/>
      <c r="F139" s="173"/>
      <c r="G139" s="173"/>
      <c r="H139" s="173"/>
    </row>
    <row r="140" spans="1:8" ht="15.75" customHeight="1" x14ac:dyDescent="0.25">
      <c r="A140" s="140"/>
      <c r="B140" s="172"/>
      <c r="D140" s="172"/>
      <c r="E140" s="173"/>
      <c r="F140" s="173"/>
      <c r="G140" s="173"/>
      <c r="H140" s="173"/>
    </row>
    <row r="141" spans="1:8" ht="15.75" customHeight="1" x14ac:dyDescent="0.25">
      <c r="A141" s="140"/>
      <c r="B141" s="172"/>
      <c r="D141" s="172"/>
      <c r="E141" s="173"/>
      <c r="F141" s="173"/>
      <c r="G141" s="173"/>
      <c r="H141" s="173"/>
    </row>
    <row r="142" spans="1:8" ht="15.75" customHeight="1" x14ac:dyDescent="0.25">
      <c r="A142" s="140"/>
      <c r="B142" s="172"/>
      <c r="D142" s="172"/>
      <c r="E142" s="173"/>
      <c r="F142" s="173"/>
      <c r="G142" s="173"/>
      <c r="H142" s="173"/>
    </row>
    <row r="143" spans="1:8" ht="15.75" customHeight="1" x14ac:dyDescent="0.25">
      <c r="A143" s="140"/>
      <c r="B143" s="172"/>
      <c r="D143" s="172"/>
      <c r="E143" s="173"/>
      <c r="F143" s="173"/>
      <c r="G143" s="173"/>
      <c r="H143" s="173"/>
    </row>
    <row r="144" spans="1:8" ht="15.75" customHeight="1" x14ac:dyDescent="0.25">
      <c r="A144" s="140"/>
      <c r="B144" s="172"/>
      <c r="D144" s="172"/>
      <c r="E144" s="173"/>
      <c r="F144" s="173"/>
      <c r="G144" s="173"/>
      <c r="H144" s="173"/>
    </row>
    <row r="145" spans="1:8" ht="15.75" customHeight="1" x14ac:dyDescent="0.25">
      <c r="A145" s="140"/>
      <c r="B145" s="172"/>
      <c r="D145" s="172"/>
      <c r="E145" s="173"/>
      <c r="F145" s="173"/>
      <c r="G145" s="173"/>
      <c r="H145" s="173"/>
    </row>
    <row r="146" spans="1:8" ht="15.75" customHeight="1" x14ac:dyDescent="0.25">
      <c r="A146" s="140"/>
      <c r="B146" s="172"/>
      <c r="D146" s="172"/>
      <c r="E146" s="173"/>
      <c r="F146" s="173"/>
      <c r="G146" s="173"/>
      <c r="H146" s="173"/>
    </row>
    <row r="147" spans="1:8" ht="15.75" customHeight="1" x14ac:dyDescent="0.25">
      <c r="A147" s="140"/>
      <c r="B147" s="172"/>
      <c r="D147" s="172"/>
      <c r="E147" s="173"/>
      <c r="F147" s="173"/>
      <c r="G147" s="173"/>
      <c r="H147" s="173"/>
    </row>
    <row r="148" spans="1:8" ht="15.75" customHeight="1" x14ac:dyDescent="0.25">
      <c r="A148" s="140"/>
      <c r="B148" s="172"/>
      <c r="D148" s="172"/>
      <c r="E148" s="173"/>
      <c r="F148" s="173"/>
      <c r="G148" s="173"/>
      <c r="H148" s="173"/>
    </row>
    <row r="149" spans="1:8" ht="15.75" customHeight="1" x14ac:dyDescent="0.25">
      <c r="A149" s="140"/>
      <c r="B149" s="172"/>
      <c r="D149" s="172"/>
      <c r="E149" s="173"/>
      <c r="F149" s="173"/>
      <c r="G149" s="173"/>
      <c r="H149" s="173"/>
    </row>
    <row r="150" spans="1:8" ht="15.75" customHeight="1" x14ac:dyDescent="0.25">
      <c r="A150" s="140"/>
      <c r="B150" s="172"/>
      <c r="D150" s="172"/>
      <c r="E150" s="173"/>
      <c r="F150" s="173"/>
      <c r="G150" s="173"/>
      <c r="H150" s="173"/>
    </row>
    <row r="151" spans="1:8" ht="15.75" customHeight="1" x14ac:dyDescent="0.25">
      <c r="A151" s="140"/>
      <c r="B151" s="172"/>
      <c r="D151" s="172"/>
      <c r="E151" s="173"/>
      <c r="F151" s="173"/>
      <c r="G151" s="173"/>
      <c r="H151" s="173"/>
    </row>
    <row r="152" spans="1:8" ht="15.75" customHeight="1" x14ac:dyDescent="0.25">
      <c r="A152" s="140"/>
      <c r="B152" s="172"/>
      <c r="D152" s="172"/>
      <c r="E152" s="173"/>
      <c r="F152" s="173"/>
      <c r="G152" s="173"/>
      <c r="H152" s="173"/>
    </row>
    <row r="153" spans="1:8" ht="15.75" customHeight="1" x14ac:dyDescent="0.25">
      <c r="A153" s="140"/>
      <c r="B153" s="172"/>
      <c r="D153" s="172"/>
      <c r="E153" s="173"/>
      <c r="F153" s="173"/>
      <c r="G153" s="173"/>
      <c r="H153" s="173"/>
    </row>
    <row r="154" spans="1:8" ht="15.75" customHeight="1" x14ac:dyDescent="0.25">
      <c r="A154" s="140"/>
      <c r="B154" s="172"/>
      <c r="D154" s="172"/>
      <c r="E154" s="173"/>
      <c r="F154" s="173"/>
      <c r="G154" s="173"/>
      <c r="H154" s="173"/>
    </row>
    <row r="155" spans="1:8" ht="15.75" customHeight="1" x14ac:dyDescent="0.25">
      <c r="A155" s="140"/>
      <c r="B155" s="172"/>
      <c r="D155" s="172"/>
      <c r="E155" s="173"/>
      <c r="F155" s="173"/>
      <c r="G155" s="173"/>
      <c r="H155" s="173"/>
    </row>
    <row r="156" spans="1:8" ht="15.75" customHeight="1" x14ac:dyDescent="0.25">
      <c r="A156" s="140"/>
      <c r="B156" s="172"/>
      <c r="D156" s="172"/>
      <c r="E156" s="173"/>
      <c r="F156" s="173"/>
      <c r="G156" s="173"/>
      <c r="H156" s="173"/>
    </row>
    <row r="157" spans="1:8" ht="15.75" customHeight="1" x14ac:dyDescent="0.25">
      <c r="A157" s="140"/>
      <c r="B157" s="172"/>
      <c r="D157" s="172"/>
      <c r="E157" s="173"/>
      <c r="F157" s="173"/>
      <c r="G157" s="173"/>
      <c r="H157" s="173"/>
    </row>
    <row r="158" spans="1:8" ht="15.75" customHeight="1" x14ac:dyDescent="0.25">
      <c r="A158" s="140"/>
      <c r="B158" s="172"/>
      <c r="D158" s="172"/>
      <c r="E158" s="173"/>
      <c r="F158" s="173"/>
      <c r="G158" s="173"/>
      <c r="H158" s="173"/>
    </row>
    <row r="159" spans="1:8" ht="15.75" customHeight="1" x14ac:dyDescent="0.25">
      <c r="A159" s="140"/>
      <c r="B159" s="172"/>
      <c r="D159" s="172"/>
      <c r="E159" s="173"/>
      <c r="F159" s="173"/>
      <c r="G159" s="173"/>
      <c r="H159" s="173"/>
    </row>
    <row r="160" spans="1:8" ht="15.75" customHeight="1" x14ac:dyDescent="0.25">
      <c r="A160" s="140"/>
      <c r="B160" s="172"/>
      <c r="D160" s="172"/>
      <c r="E160" s="173"/>
      <c r="F160" s="173"/>
      <c r="G160" s="173"/>
      <c r="H160" s="173"/>
    </row>
    <row r="161" spans="1:8" ht="15.75" customHeight="1" x14ac:dyDescent="0.25">
      <c r="A161" s="140"/>
      <c r="B161" s="172"/>
      <c r="D161" s="172"/>
      <c r="E161" s="173"/>
      <c r="F161" s="173"/>
      <c r="G161" s="173"/>
      <c r="H161" s="173"/>
    </row>
    <row r="162" spans="1:8" ht="15.75" customHeight="1" x14ac:dyDescent="0.25">
      <c r="A162" s="140"/>
      <c r="B162" s="172"/>
      <c r="D162" s="172"/>
      <c r="E162" s="173"/>
      <c r="F162" s="173"/>
      <c r="G162" s="173"/>
      <c r="H162" s="173"/>
    </row>
    <row r="163" spans="1:8" ht="15.75" customHeight="1" x14ac:dyDescent="0.25">
      <c r="A163" s="140"/>
      <c r="B163" s="172"/>
      <c r="D163" s="172"/>
      <c r="E163" s="173"/>
      <c r="F163" s="173"/>
      <c r="G163" s="173"/>
      <c r="H163" s="173"/>
    </row>
    <row r="164" spans="1:8" ht="15.75" customHeight="1" x14ac:dyDescent="0.25">
      <c r="A164" s="140"/>
      <c r="B164" s="172"/>
      <c r="D164" s="172"/>
      <c r="E164" s="173"/>
      <c r="F164" s="173"/>
      <c r="G164" s="173"/>
      <c r="H164" s="173"/>
    </row>
    <row r="165" spans="1:8" ht="15.75" customHeight="1" x14ac:dyDescent="0.25">
      <c r="A165" s="140"/>
      <c r="B165" s="172"/>
      <c r="D165" s="172"/>
      <c r="E165" s="173"/>
      <c r="F165" s="173"/>
      <c r="G165" s="173"/>
      <c r="H165" s="173"/>
    </row>
    <row r="166" spans="1:8" ht="15.75" customHeight="1" x14ac:dyDescent="0.25">
      <c r="A166" s="140"/>
      <c r="B166" s="172"/>
      <c r="D166" s="172"/>
      <c r="E166" s="173"/>
      <c r="F166" s="173"/>
      <c r="G166" s="173"/>
      <c r="H166" s="173"/>
    </row>
    <row r="167" spans="1:8" ht="15.75" customHeight="1" x14ac:dyDescent="0.25">
      <c r="A167" s="140"/>
      <c r="B167" s="172"/>
      <c r="D167" s="172"/>
      <c r="E167" s="173"/>
      <c r="F167" s="173"/>
      <c r="G167" s="173"/>
      <c r="H167" s="173"/>
    </row>
    <row r="168" spans="1:8" ht="15.75" customHeight="1" x14ac:dyDescent="0.25">
      <c r="A168" s="140"/>
      <c r="B168" s="172"/>
      <c r="D168" s="172"/>
      <c r="E168" s="173"/>
      <c r="F168" s="173"/>
      <c r="G168" s="173"/>
      <c r="H168" s="173"/>
    </row>
    <row r="169" spans="1:8" ht="15.75" customHeight="1" x14ac:dyDescent="0.25">
      <c r="A169" s="140"/>
      <c r="B169" s="172"/>
      <c r="D169" s="172"/>
      <c r="E169" s="173"/>
      <c r="F169" s="173"/>
      <c r="G169" s="173"/>
      <c r="H169" s="173"/>
    </row>
    <row r="170" spans="1:8" ht="15.75" customHeight="1" x14ac:dyDescent="0.25">
      <c r="A170" s="140"/>
      <c r="B170" s="172"/>
      <c r="D170" s="172"/>
      <c r="E170" s="173"/>
      <c r="F170" s="173"/>
      <c r="G170" s="173"/>
      <c r="H170" s="173"/>
    </row>
    <row r="171" spans="1:8" ht="15.75" customHeight="1" x14ac:dyDescent="0.25">
      <c r="A171" s="140"/>
      <c r="B171" s="172"/>
      <c r="D171" s="172"/>
      <c r="E171" s="173"/>
      <c r="F171" s="173"/>
      <c r="G171" s="173"/>
      <c r="H171" s="173"/>
    </row>
    <row r="172" spans="1:8" ht="15.75" customHeight="1" x14ac:dyDescent="0.25">
      <c r="A172" s="140"/>
      <c r="B172" s="172"/>
      <c r="D172" s="172"/>
      <c r="E172" s="173"/>
      <c r="F172" s="173"/>
      <c r="G172" s="173"/>
      <c r="H172" s="173"/>
    </row>
    <row r="173" spans="1:8" ht="15.75" customHeight="1" x14ac:dyDescent="0.25">
      <c r="A173" s="140"/>
      <c r="B173" s="172"/>
      <c r="D173" s="172"/>
      <c r="E173" s="173"/>
      <c r="F173" s="173"/>
      <c r="G173" s="173"/>
      <c r="H173" s="173"/>
    </row>
    <row r="174" spans="1:8" ht="15.75" customHeight="1" x14ac:dyDescent="0.25">
      <c r="A174" s="140"/>
      <c r="B174" s="172"/>
      <c r="D174" s="172"/>
      <c r="E174" s="173"/>
      <c r="F174" s="173"/>
      <c r="G174" s="173"/>
      <c r="H174" s="173"/>
    </row>
    <row r="175" spans="1:8" ht="15.75" customHeight="1" x14ac:dyDescent="0.25">
      <c r="A175" s="140"/>
      <c r="B175" s="172"/>
      <c r="D175" s="172"/>
      <c r="E175" s="173"/>
      <c r="F175" s="173"/>
      <c r="G175" s="173"/>
      <c r="H175" s="173"/>
    </row>
    <row r="176" spans="1:8" ht="15.75" customHeight="1" x14ac:dyDescent="0.25">
      <c r="A176" s="140"/>
      <c r="B176" s="172"/>
      <c r="D176" s="172"/>
      <c r="E176" s="173"/>
      <c r="F176" s="173"/>
      <c r="G176" s="173"/>
      <c r="H176" s="173"/>
    </row>
    <row r="177" spans="1:8" ht="15.75" customHeight="1" x14ac:dyDescent="0.25">
      <c r="A177" s="140"/>
      <c r="B177" s="172"/>
      <c r="D177" s="172"/>
      <c r="E177" s="173"/>
      <c r="F177" s="173"/>
      <c r="G177" s="173"/>
      <c r="H177" s="173"/>
    </row>
    <row r="178" spans="1:8" ht="15.75" customHeight="1" x14ac:dyDescent="0.25">
      <c r="A178" s="140"/>
      <c r="B178" s="172"/>
      <c r="D178" s="172"/>
      <c r="E178" s="173"/>
      <c r="F178" s="173"/>
      <c r="G178" s="173"/>
      <c r="H178" s="173"/>
    </row>
    <row r="179" spans="1:8" ht="15.75" customHeight="1" x14ac:dyDescent="0.25">
      <c r="A179" s="140"/>
      <c r="B179" s="172"/>
      <c r="D179" s="172"/>
      <c r="E179" s="173"/>
      <c r="F179" s="173"/>
      <c r="G179" s="173"/>
      <c r="H179" s="173"/>
    </row>
    <row r="180" spans="1:8" ht="15.75" customHeight="1" x14ac:dyDescent="0.25">
      <c r="A180" s="140"/>
      <c r="B180" s="172"/>
      <c r="D180" s="172"/>
      <c r="E180" s="173"/>
      <c r="F180" s="173"/>
      <c r="G180" s="173"/>
      <c r="H180" s="173"/>
    </row>
    <row r="181" spans="1:8" ht="15.75" customHeight="1" x14ac:dyDescent="0.25">
      <c r="A181" s="140"/>
      <c r="B181" s="172"/>
      <c r="D181" s="172"/>
      <c r="E181" s="173"/>
      <c r="F181" s="173"/>
      <c r="G181" s="173"/>
      <c r="H181" s="173"/>
    </row>
    <row r="182" spans="1:8" ht="15.75" customHeight="1" x14ac:dyDescent="0.25">
      <c r="A182" s="140"/>
      <c r="B182" s="172"/>
      <c r="D182" s="172"/>
      <c r="E182" s="173"/>
      <c r="F182" s="173"/>
      <c r="G182" s="173"/>
      <c r="H182" s="173"/>
    </row>
    <row r="183" spans="1:8" ht="15.75" customHeight="1" x14ac:dyDescent="0.25">
      <c r="A183" s="140"/>
      <c r="B183" s="172"/>
      <c r="D183" s="172"/>
      <c r="E183" s="173"/>
      <c r="F183" s="173"/>
      <c r="G183" s="173"/>
      <c r="H183" s="173"/>
    </row>
    <row r="184" spans="1:8" ht="15.75" customHeight="1" x14ac:dyDescent="0.25">
      <c r="A184" s="140"/>
      <c r="B184" s="172"/>
      <c r="D184" s="172"/>
      <c r="E184" s="173"/>
      <c r="F184" s="173"/>
      <c r="G184" s="173"/>
      <c r="H184" s="173"/>
    </row>
    <row r="185" spans="1:8" ht="15.75" customHeight="1" x14ac:dyDescent="0.25">
      <c r="A185" s="140"/>
      <c r="B185" s="172"/>
      <c r="D185" s="172"/>
      <c r="E185" s="173"/>
      <c r="F185" s="173"/>
      <c r="G185" s="173"/>
      <c r="H185" s="173"/>
    </row>
    <row r="186" spans="1:8" ht="15.75" customHeight="1" x14ac:dyDescent="0.25">
      <c r="A186" s="140"/>
      <c r="B186" s="172"/>
      <c r="D186" s="172"/>
      <c r="E186" s="173"/>
      <c r="F186" s="173"/>
      <c r="G186" s="173"/>
      <c r="H186" s="173"/>
    </row>
    <row r="187" spans="1:8" ht="15.75" customHeight="1" x14ac:dyDescent="0.25">
      <c r="A187" s="140"/>
      <c r="B187" s="172"/>
      <c r="D187" s="172"/>
      <c r="E187" s="173"/>
      <c r="F187" s="173"/>
      <c r="G187" s="173"/>
      <c r="H187" s="173"/>
    </row>
    <row r="188" spans="1:8" ht="15.75" customHeight="1" x14ac:dyDescent="0.25">
      <c r="A188" s="140"/>
      <c r="B188" s="172"/>
      <c r="D188" s="172"/>
      <c r="E188" s="173"/>
      <c r="F188" s="173"/>
      <c r="G188" s="173"/>
      <c r="H188" s="173"/>
    </row>
    <row r="189" spans="1:8" ht="15.75" customHeight="1" x14ac:dyDescent="0.25">
      <c r="A189" s="140"/>
      <c r="B189" s="172"/>
      <c r="D189" s="172"/>
      <c r="E189" s="173"/>
      <c r="F189" s="173"/>
      <c r="G189" s="173"/>
      <c r="H189" s="173"/>
    </row>
    <row r="190" spans="1:8" ht="15.75" customHeight="1" x14ac:dyDescent="0.25">
      <c r="A190" s="140"/>
      <c r="B190" s="172"/>
      <c r="D190" s="172"/>
      <c r="E190" s="173"/>
      <c r="F190" s="173"/>
      <c r="G190" s="173"/>
      <c r="H190" s="173"/>
    </row>
    <row r="191" spans="1:8" ht="15.75" customHeight="1" x14ac:dyDescent="0.25">
      <c r="A191" s="140"/>
      <c r="B191" s="172"/>
      <c r="D191" s="172"/>
      <c r="E191" s="173"/>
      <c r="F191" s="173"/>
      <c r="G191" s="173"/>
      <c r="H191" s="173"/>
    </row>
    <row r="192" spans="1:8" ht="15.75" customHeight="1" x14ac:dyDescent="0.25">
      <c r="A192" s="140"/>
      <c r="B192" s="172"/>
      <c r="D192" s="172"/>
      <c r="E192" s="173"/>
      <c r="F192" s="173"/>
      <c r="G192" s="173"/>
      <c r="H192" s="173"/>
    </row>
    <row r="193" spans="1:8" ht="15.75" customHeight="1" x14ac:dyDescent="0.25">
      <c r="A193" s="140"/>
      <c r="B193" s="172"/>
      <c r="D193" s="172"/>
      <c r="E193" s="173"/>
      <c r="F193" s="173"/>
      <c r="G193" s="173"/>
      <c r="H193" s="173"/>
    </row>
    <row r="194" spans="1:8" ht="15.75" customHeight="1" x14ac:dyDescent="0.25">
      <c r="A194" s="140"/>
      <c r="B194" s="172"/>
      <c r="D194" s="172"/>
      <c r="E194" s="173"/>
      <c r="F194" s="173"/>
      <c r="G194" s="173"/>
      <c r="H194" s="173"/>
    </row>
    <row r="195" spans="1:8" ht="15.75" customHeight="1" x14ac:dyDescent="0.25">
      <c r="A195" s="140"/>
      <c r="B195" s="172"/>
      <c r="D195" s="172"/>
      <c r="E195" s="173"/>
      <c r="F195" s="173"/>
      <c r="G195" s="173"/>
      <c r="H195" s="173"/>
    </row>
    <row r="196" spans="1:8" ht="15.75" customHeight="1" x14ac:dyDescent="0.25">
      <c r="A196" s="140"/>
      <c r="B196" s="172"/>
      <c r="D196" s="172"/>
      <c r="E196" s="173"/>
      <c r="F196" s="173"/>
      <c r="G196" s="173"/>
      <c r="H196" s="173"/>
    </row>
    <row r="197" spans="1:8" ht="15.75" customHeight="1" x14ac:dyDescent="0.25">
      <c r="A197" s="140"/>
      <c r="B197" s="172"/>
      <c r="D197" s="172"/>
      <c r="E197" s="173"/>
      <c r="F197" s="173"/>
      <c r="G197" s="173"/>
      <c r="H197" s="173"/>
    </row>
    <row r="198" spans="1:8" ht="15.75" customHeight="1" x14ac:dyDescent="0.25">
      <c r="A198" s="140"/>
      <c r="B198" s="172"/>
      <c r="D198" s="172"/>
      <c r="E198" s="173"/>
      <c r="F198" s="173"/>
      <c r="G198" s="173"/>
      <c r="H198" s="173"/>
    </row>
    <row r="199" spans="1:8" ht="15.75" customHeight="1" x14ac:dyDescent="0.25">
      <c r="A199" s="140"/>
      <c r="B199" s="172"/>
      <c r="D199" s="172"/>
      <c r="E199" s="173"/>
      <c r="F199" s="173"/>
      <c r="G199" s="173"/>
      <c r="H199" s="173"/>
    </row>
    <row r="200" spans="1:8" ht="15.75" customHeight="1" x14ac:dyDescent="0.25">
      <c r="A200" s="140"/>
      <c r="B200" s="172"/>
      <c r="D200" s="172"/>
      <c r="E200" s="173"/>
      <c r="F200" s="173"/>
      <c r="G200" s="173"/>
      <c r="H200" s="173"/>
    </row>
    <row r="201" spans="1:8" ht="15.75" customHeight="1" x14ac:dyDescent="0.25">
      <c r="A201" s="140"/>
      <c r="B201" s="172"/>
      <c r="D201" s="172"/>
      <c r="E201" s="173"/>
      <c r="F201" s="173"/>
      <c r="G201" s="173"/>
      <c r="H201" s="173"/>
    </row>
    <row r="202" spans="1:8" ht="15.75" customHeight="1" x14ac:dyDescent="0.25">
      <c r="A202" s="140"/>
      <c r="B202" s="172"/>
      <c r="D202" s="172"/>
      <c r="E202" s="173"/>
      <c r="F202" s="173"/>
      <c r="G202" s="173"/>
      <c r="H202" s="173"/>
    </row>
    <row r="203" spans="1:8" ht="15.75" customHeight="1" x14ac:dyDescent="0.25">
      <c r="A203" s="140"/>
      <c r="B203" s="172"/>
      <c r="D203" s="172"/>
      <c r="E203" s="173"/>
      <c r="F203" s="173"/>
      <c r="G203" s="173"/>
      <c r="H203" s="173"/>
    </row>
    <row r="204" spans="1:8" ht="15.75" customHeight="1" x14ac:dyDescent="0.25">
      <c r="A204" s="140"/>
      <c r="B204" s="172"/>
      <c r="D204" s="172"/>
      <c r="E204" s="173"/>
      <c r="F204" s="173"/>
      <c r="G204" s="173"/>
      <c r="H204" s="173"/>
    </row>
    <row r="205" spans="1:8" ht="15.75" customHeight="1" x14ac:dyDescent="0.25">
      <c r="A205" s="140"/>
      <c r="B205" s="172"/>
      <c r="D205" s="172"/>
      <c r="E205" s="173"/>
      <c r="F205" s="173"/>
      <c r="G205" s="173"/>
      <c r="H205" s="173"/>
    </row>
    <row r="206" spans="1:8" ht="15.75" customHeight="1" x14ac:dyDescent="0.25">
      <c r="A206" s="140"/>
      <c r="B206" s="172"/>
      <c r="D206" s="172"/>
      <c r="E206" s="173"/>
      <c r="F206" s="173"/>
      <c r="G206" s="173"/>
      <c r="H206" s="173"/>
    </row>
    <row r="207" spans="1:8" ht="15.75" customHeight="1" x14ac:dyDescent="0.25">
      <c r="A207" s="140"/>
      <c r="B207" s="172"/>
      <c r="D207" s="172"/>
      <c r="E207" s="173"/>
      <c r="F207" s="173"/>
      <c r="G207" s="173"/>
      <c r="H207" s="173"/>
    </row>
    <row r="208" spans="1:8" ht="15.75" customHeight="1" x14ac:dyDescent="0.25">
      <c r="A208" s="140"/>
      <c r="B208" s="172"/>
      <c r="D208" s="172"/>
      <c r="E208" s="173"/>
      <c r="F208" s="173"/>
      <c r="G208" s="173"/>
      <c r="H208" s="173"/>
    </row>
    <row r="209" spans="1:8" ht="15.75" customHeight="1" x14ac:dyDescent="0.25">
      <c r="A209" s="140"/>
      <c r="B209" s="172"/>
      <c r="D209" s="172"/>
      <c r="E209" s="173"/>
      <c r="F209" s="173"/>
      <c r="G209" s="173"/>
      <c r="H209" s="173"/>
    </row>
    <row r="210" spans="1:8" ht="15.75" customHeight="1" x14ac:dyDescent="0.25">
      <c r="A210" s="140"/>
      <c r="B210" s="172"/>
      <c r="D210" s="172"/>
      <c r="E210" s="173"/>
      <c r="F210" s="173"/>
      <c r="G210" s="173"/>
      <c r="H210" s="173"/>
    </row>
    <row r="211" spans="1:8" ht="15.75" customHeight="1" x14ac:dyDescent="0.25">
      <c r="A211" s="140"/>
      <c r="B211" s="172"/>
      <c r="D211" s="172"/>
      <c r="E211" s="173"/>
      <c r="F211" s="173"/>
      <c r="G211" s="173"/>
      <c r="H211" s="173"/>
    </row>
    <row r="212" spans="1:8" ht="15.75" customHeight="1" x14ac:dyDescent="0.25">
      <c r="A212" s="140"/>
      <c r="B212" s="172"/>
      <c r="D212" s="172"/>
      <c r="E212" s="173"/>
      <c r="F212" s="173"/>
      <c r="G212" s="173"/>
      <c r="H212" s="173"/>
    </row>
    <row r="213" spans="1:8" ht="15.75" customHeight="1" x14ac:dyDescent="0.25">
      <c r="A213" s="140"/>
      <c r="B213" s="172"/>
      <c r="D213" s="172"/>
      <c r="E213" s="173"/>
      <c r="F213" s="173"/>
      <c r="G213" s="173"/>
      <c r="H213" s="173"/>
    </row>
    <row r="214" spans="1:8" ht="15.75" customHeight="1" x14ac:dyDescent="0.25">
      <c r="A214" s="140"/>
      <c r="B214" s="172"/>
      <c r="D214" s="172"/>
      <c r="E214" s="173"/>
      <c r="F214" s="173"/>
      <c r="G214" s="173"/>
      <c r="H214" s="173"/>
    </row>
    <row r="215" spans="1:8" ht="15.75" customHeight="1" x14ac:dyDescent="0.25">
      <c r="A215" s="140"/>
      <c r="B215" s="172"/>
      <c r="D215" s="172"/>
      <c r="E215" s="173"/>
      <c r="F215" s="173"/>
      <c r="G215" s="173"/>
      <c r="H215" s="173"/>
    </row>
    <row r="216" spans="1:8" ht="15.75" customHeight="1" x14ac:dyDescent="0.25">
      <c r="A216" s="140"/>
      <c r="B216" s="172"/>
      <c r="D216" s="172"/>
      <c r="E216" s="173"/>
      <c r="F216" s="173"/>
      <c r="G216" s="173"/>
      <c r="H216" s="173"/>
    </row>
    <row r="217" spans="1:8" ht="15.75" customHeight="1" x14ac:dyDescent="0.25">
      <c r="A217" s="140"/>
      <c r="B217" s="172"/>
      <c r="D217" s="172"/>
      <c r="E217" s="173"/>
      <c r="F217" s="173"/>
      <c r="G217" s="173"/>
      <c r="H217" s="173"/>
    </row>
    <row r="218" spans="1:8" ht="15.75" customHeight="1" x14ac:dyDescent="0.25">
      <c r="A218" s="140"/>
      <c r="B218" s="172"/>
      <c r="D218" s="172"/>
      <c r="E218" s="173"/>
      <c r="F218" s="173"/>
      <c r="G218" s="173"/>
      <c r="H218" s="173"/>
    </row>
    <row r="219" spans="1:8" ht="15.75" customHeight="1" x14ac:dyDescent="0.25">
      <c r="A219" s="140"/>
      <c r="B219" s="172"/>
      <c r="D219" s="172"/>
      <c r="E219" s="173"/>
      <c r="F219" s="173"/>
      <c r="G219" s="173"/>
      <c r="H219" s="173"/>
    </row>
    <row r="220" spans="1:8" ht="15.75" customHeight="1" x14ac:dyDescent="0.25">
      <c r="A220" s="140"/>
      <c r="B220" s="172"/>
      <c r="D220" s="172"/>
      <c r="E220" s="173"/>
      <c r="F220" s="173"/>
      <c r="G220" s="173"/>
      <c r="H220" s="173"/>
    </row>
    <row r="221" spans="1:8" ht="15.75" customHeight="1" x14ac:dyDescent="0.25">
      <c r="A221" s="140"/>
      <c r="B221" s="172"/>
      <c r="D221" s="172"/>
      <c r="E221" s="173"/>
      <c r="F221" s="173"/>
      <c r="G221" s="173"/>
      <c r="H221" s="173"/>
    </row>
    <row r="222" spans="1:8" ht="15.75" customHeight="1" x14ac:dyDescent="0.25">
      <c r="A222" s="140"/>
      <c r="B222" s="172"/>
      <c r="D222" s="172"/>
      <c r="E222" s="173"/>
      <c r="F222" s="173"/>
      <c r="G222" s="173"/>
      <c r="H222" s="173"/>
    </row>
    <row r="223" spans="1:8" ht="15.75" customHeight="1" x14ac:dyDescent="0.25">
      <c r="A223" s="140"/>
      <c r="B223" s="172"/>
      <c r="D223" s="172"/>
      <c r="E223" s="173"/>
      <c r="F223" s="173"/>
      <c r="G223" s="173"/>
      <c r="H223" s="173"/>
    </row>
    <row r="224" spans="1:8" ht="15.75" customHeight="1" x14ac:dyDescent="0.25">
      <c r="A224" s="140"/>
      <c r="B224" s="172"/>
      <c r="D224" s="172"/>
      <c r="E224" s="173"/>
      <c r="F224" s="173"/>
      <c r="G224" s="173"/>
      <c r="H224" s="173"/>
    </row>
    <row r="225" spans="1:8" ht="15.75" customHeight="1" x14ac:dyDescent="0.25">
      <c r="A225" s="140"/>
      <c r="B225" s="172"/>
      <c r="D225" s="172"/>
      <c r="E225" s="173"/>
      <c r="F225" s="173"/>
      <c r="G225" s="173"/>
      <c r="H225" s="173"/>
    </row>
    <row r="226" spans="1:8" ht="15.75" customHeight="1" x14ac:dyDescent="0.25">
      <c r="A226" s="140"/>
      <c r="B226" s="172"/>
      <c r="D226" s="172"/>
      <c r="E226" s="173"/>
      <c r="F226" s="173"/>
      <c r="G226" s="173"/>
      <c r="H226" s="173"/>
    </row>
    <row r="227" spans="1:8" ht="15.75" customHeight="1" x14ac:dyDescent="0.25">
      <c r="A227" s="140"/>
      <c r="B227" s="172"/>
      <c r="D227" s="172"/>
      <c r="E227" s="173"/>
      <c r="F227" s="173"/>
      <c r="G227" s="173"/>
      <c r="H227" s="173"/>
    </row>
    <row r="228" spans="1:8" ht="15.75" customHeight="1" x14ac:dyDescent="0.25">
      <c r="A228" s="140"/>
      <c r="B228" s="172"/>
      <c r="D228" s="172"/>
      <c r="E228" s="173"/>
      <c r="F228" s="173"/>
      <c r="G228" s="173"/>
      <c r="H228" s="173"/>
    </row>
    <row r="229" spans="1:8" ht="15.75" customHeight="1" x14ac:dyDescent="0.25">
      <c r="A229" s="140"/>
      <c r="B229" s="172"/>
      <c r="D229" s="172"/>
      <c r="E229" s="173"/>
      <c r="F229" s="173"/>
      <c r="G229" s="173"/>
      <c r="H229" s="173"/>
    </row>
    <row r="230" spans="1:8" ht="15.75" customHeight="1" x14ac:dyDescent="0.25">
      <c r="A230" s="140"/>
      <c r="B230" s="172"/>
      <c r="D230" s="172"/>
      <c r="E230" s="173"/>
      <c r="F230" s="173"/>
      <c r="G230" s="173"/>
      <c r="H230" s="173"/>
    </row>
    <row r="231" spans="1:8" ht="15.75" customHeight="1" x14ac:dyDescent="0.25">
      <c r="A231" s="140"/>
      <c r="B231" s="172"/>
      <c r="D231" s="172"/>
      <c r="E231" s="173"/>
      <c r="F231" s="173"/>
      <c r="G231" s="173"/>
      <c r="H231" s="173"/>
    </row>
    <row r="232" spans="1:8" ht="15.75" customHeight="1" x14ac:dyDescent="0.25">
      <c r="A232" s="140"/>
      <c r="B232" s="172"/>
      <c r="D232" s="172"/>
      <c r="E232" s="173"/>
      <c r="F232" s="173"/>
      <c r="G232" s="173"/>
      <c r="H232" s="173"/>
    </row>
    <row r="233" spans="1:8" ht="15.75" customHeight="1" x14ac:dyDescent="0.25">
      <c r="A233" s="140"/>
      <c r="B233" s="172"/>
      <c r="D233" s="172"/>
      <c r="E233" s="173"/>
      <c r="F233" s="173"/>
      <c r="G233" s="173"/>
      <c r="H233" s="173"/>
    </row>
    <row r="234" spans="1:8" ht="15.75" customHeight="1" x14ac:dyDescent="0.25">
      <c r="A234" s="140"/>
      <c r="B234" s="172"/>
      <c r="D234" s="172"/>
      <c r="E234" s="173"/>
      <c r="F234" s="173"/>
      <c r="G234" s="173"/>
      <c r="H234" s="173"/>
    </row>
    <row r="235" spans="1:8" ht="15.75" customHeight="1" x14ac:dyDescent="0.25">
      <c r="A235" s="140"/>
      <c r="B235" s="172"/>
      <c r="D235" s="172"/>
      <c r="E235" s="173"/>
      <c r="F235" s="173"/>
      <c r="G235" s="173"/>
      <c r="H235" s="173"/>
    </row>
    <row r="236" spans="1:8" ht="15.75" customHeight="1" x14ac:dyDescent="0.25">
      <c r="A236" s="140"/>
      <c r="B236" s="172"/>
      <c r="D236" s="172"/>
      <c r="E236" s="173"/>
      <c r="F236" s="173"/>
      <c r="G236" s="173"/>
      <c r="H236" s="173"/>
    </row>
    <row r="237" spans="1:8" ht="15.75" customHeight="1" x14ac:dyDescent="0.25">
      <c r="A237" s="140"/>
      <c r="B237" s="172"/>
      <c r="D237" s="172"/>
      <c r="E237" s="173"/>
      <c r="F237" s="173"/>
      <c r="G237" s="173"/>
      <c r="H237" s="173"/>
    </row>
    <row r="238" spans="1:8" ht="15.75" customHeight="1" x14ac:dyDescent="0.25">
      <c r="A238" s="140"/>
      <c r="B238" s="172"/>
      <c r="D238" s="172"/>
      <c r="E238" s="173"/>
      <c r="F238" s="173"/>
      <c r="G238" s="173"/>
      <c r="H238" s="173"/>
    </row>
    <row r="239" spans="1:8" ht="15.75" customHeight="1" x14ac:dyDescent="0.25">
      <c r="A239" s="140"/>
      <c r="B239" s="172"/>
      <c r="D239" s="172"/>
      <c r="E239" s="173"/>
      <c r="F239" s="173"/>
      <c r="G239" s="173"/>
      <c r="H239" s="173"/>
    </row>
    <row r="240" spans="1:8" ht="15.75" customHeight="1" x14ac:dyDescent="0.25">
      <c r="A240" s="140"/>
      <c r="B240" s="172"/>
      <c r="D240" s="172"/>
      <c r="E240" s="173"/>
      <c r="F240" s="173"/>
      <c r="G240" s="173"/>
      <c r="H240" s="173"/>
    </row>
    <row r="241" spans="1:8" ht="15.75" customHeight="1" x14ac:dyDescent="0.25">
      <c r="A241" s="140"/>
      <c r="B241" s="172"/>
      <c r="D241" s="172"/>
      <c r="E241" s="173"/>
      <c r="F241" s="173"/>
      <c r="G241" s="173"/>
      <c r="H241" s="173"/>
    </row>
    <row r="242" spans="1:8" ht="15.75" customHeight="1" x14ac:dyDescent="0.25">
      <c r="A242" s="140"/>
      <c r="B242" s="172"/>
      <c r="D242" s="172"/>
      <c r="E242" s="173"/>
      <c r="F242" s="173"/>
      <c r="G242" s="173"/>
      <c r="H242" s="173"/>
    </row>
    <row r="243" spans="1:8" ht="15.75" customHeight="1" x14ac:dyDescent="0.25">
      <c r="A243" s="140"/>
      <c r="B243" s="172"/>
      <c r="D243" s="172"/>
      <c r="E243" s="173"/>
      <c r="F243" s="173"/>
      <c r="G243" s="173"/>
      <c r="H243" s="173"/>
    </row>
    <row r="244" spans="1:8" ht="15.75" customHeight="1" x14ac:dyDescent="0.25">
      <c r="A244" s="140"/>
      <c r="B244" s="172"/>
      <c r="D244" s="172"/>
      <c r="E244" s="173"/>
      <c r="F244" s="173"/>
      <c r="G244" s="173"/>
      <c r="H244" s="173"/>
    </row>
    <row r="245" spans="1:8" ht="15.75" customHeight="1" x14ac:dyDescent="0.25">
      <c r="A245" s="140"/>
      <c r="B245" s="172"/>
      <c r="D245" s="172"/>
      <c r="E245" s="173"/>
      <c r="F245" s="173"/>
      <c r="G245" s="173"/>
      <c r="H245" s="173"/>
    </row>
    <row r="246" spans="1:8" ht="15.75" customHeight="1" x14ac:dyDescent="0.25">
      <c r="A246" s="140"/>
      <c r="B246" s="172"/>
      <c r="D246" s="172"/>
      <c r="E246" s="173"/>
      <c r="F246" s="173"/>
      <c r="G246" s="173"/>
      <c r="H246" s="173"/>
    </row>
    <row r="247" spans="1:8" ht="15.75" customHeight="1" x14ac:dyDescent="0.25">
      <c r="A247" s="140"/>
      <c r="B247" s="172"/>
      <c r="D247" s="172"/>
      <c r="E247" s="173"/>
      <c r="F247" s="173"/>
      <c r="G247" s="173"/>
      <c r="H247" s="173"/>
    </row>
    <row r="248" spans="1:8" ht="15.75" customHeight="1" x14ac:dyDescent="0.25">
      <c r="A248" s="140"/>
      <c r="B248" s="172"/>
      <c r="D248" s="172"/>
      <c r="E248" s="173"/>
      <c r="F248" s="173"/>
      <c r="G248" s="173"/>
      <c r="H248" s="173"/>
    </row>
    <row r="249" spans="1:8" ht="15.75" customHeight="1" x14ac:dyDescent="0.25">
      <c r="A249" s="140"/>
      <c r="B249" s="172"/>
      <c r="D249" s="172"/>
      <c r="E249" s="173"/>
      <c r="F249" s="173"/>
      <c r="G249" s="173"/>
      <c r="H249" s="173"/>
    </row>
    <row r="250" spans="1:8" ht="15.75" customHeight="1" x14ac:dyDescent="0.25">
      <c r="A250" s="140"/>
      <c r="B250" s="172"/>
      <c r="D250" s="172"/>
      <c r="E250" s="173"/>
      <c r="F250" s="173"/>
      <c r="G250" s="173"/>
      <c r="H250" s="173"/>
    </row>
    <row r="251" spans="1:8" ht="15.75" customHeight="1" x14ac:dyDescent="0.25">
      <c r="A251" s="140"/>
      <c r="B251" s="172"/>
      <c r="D251" s="172"/>
      <c r="E251" s="173"/>
      <c r="F251" s="173"/>
      <c r="G251" s="173"/>
      <c r="H251" s="173"/>
    </row>
    <row r="252" spans="1:8" ht="15.75" customHeight="1" x14ac:dyDescent="0.25">
      <c r="A252" s="140"/>
      <c r="B252" s="172"/>
      <c r="D252" s="172"/>
      <c r="E252" s="173"/>
      <c r="F252" s="173"/>
      <c r="G252" s="173"/>
      <c r="H252" s="173"/>
    </row>
    <row r="253" spans="1:8" ht="15.75" customHeight="1" x14ac:dyDescent="0.25">
      <c r="A253" s="140"/>
      <c r="B253" s="172"/>
      <c r="D253" s="172"/>
      <c r="E253" s="173"/>
      <c r="F253" s="173"/>
      <c r="G253" s="173"/>
      <c r="H253" s="173"/>
    </row>
    <row r="254" spans="1:8" ht="15.75" customHeight="1" x14ac:dyDescent="0.25">
      <c r="A254" s="140"/>
      <c r="B254" s="172"/>
      <c r="D254" s="172"/>
      <c r="E254" s="173"/>
      <c r="F254" s="173"/>
      <c r="G254" s="173"/>
      <c r="H254" s="173"/>
    </row>
    <row r="255" spans="1:8" ht="15.75" customHeight="1" x14ac:dyDescent="0.25">
      <c r="A255" s="140"/>
      <c r="B255" s="172"/>
      <c r="D255" s="172"/>
      <c r="E255" s="173"/>
      <c r="F255" s="173"/>
      <c r="G255" s="173"/>
      <c r="H255" s="173"/>
    </row>
    <row r="256" spans="1:8" ht="15.75" customHeight="1" x14ac:dyDescent="0.25">
      <c r="A256" s="140"/>
      <c r="B256" s="172"/>
      <c r="D256" s="172"/>
      <c r="E256" s="173"/>
      <c r="F256" s="173"/>
      <c r="G256" s="173"/>
      <c r="H256" s="173"/>
    </row>
    <row r="257" spans="1:8" ht="15.75" customHeight="1" x14ac:dyDescent="0.25">
      <c r="A257" s="140"/>
      <c r="B257" s="172"/>
      <c r="D257" s="172"/>
      <c r="E257" s="173"/>
      <c r="F257" s="173"/>
      <c r="G257" s="173"/>
      <c r="H257" s="173"/>
    </row>
    <row r="258" spans="1:8" ht="15.75" customHeight="1" x14ac:dyDescent="0.25">
      <c r="A258" s="140"/>
      <c r="B258" s="172"/>
      <c r="D258" s="172"/>
      <c r="E258" s="173"/>
      <c r="F258" s="173"/>
      <c r="G258" s="173"/>
      <c r="H258" s="173"/>
    </row>
    <row r="259" spans="1:8" ht="15.75" customHeight="1" x14ac:dyDescent="0.25">
      <c r="A259" s="140"/>
      <c r="B259" s="172"/>
      <c r="D259" s="172"/>
      <c r="E259" s="173"/>
      <c r="F259" s="173"/>
      <c r="G259" s="173"/>
      <c r="H259" s="173"/>
    </row>
    <row r="260" spans="1:8" ht="15.75" customHeight="1" x14ac:dyDescent="0.25">
      <c r="A260" s="140"/>
      <c r="B260" s="172"/>
      <c r="D260" s="172"/>
      <c r="E260" s="173"/>
      <c r="F260" s="173"/>
      <c r="G260" s="173"/>
      <c r="H260" s="173"/>
    </row>
    <row r="261" spans="1:8" ht="15.75" customHeight="1" x14ac:dyDescent="0.25">
      <c r="A261" s="140"/>
      <c r="B261" s="172"/>
      <c r="D261" s="172"/>
      <c r="E261" s="173"/>
      <c r="F261" s="173"/>
      <c r="G261" s="173"/>
      <c r="H261" s="173"/>
    </row>
    <row r="262" spans="1:8" ht="15.75" customHeight="1" x14ac:dyDescent="0.25">
      <c r="A262" s="140"/>
      <c r="B262" s="172"/>
      <c r="D262" s="172"/>
      <c r="E262" s="173"/>
      <c r="F262" s="173"/>
      <c r="G262" s="173"/>
      <c r="H262" s="173"/>
    </row>
    <row r="263" spans="1:8" ht="15.75" customHeight="1" x14ac:dyDescent="0.25">
      <c r="A263" s="140"/>
      <c r="B263" s="172"/>
      <c r="D263" s="172"/>
      <c r="E263" s="173"/>
      <c r="F263" s="173"/>
      <c r="G263" s="173"/>
      <c r="H263" s="173"/>
    </row>
    <row r="264" spans="1:8" ht="15.75" customHeight="1" x14ac:dyDescent="0.25">
      <c r="A264" s="140"/>
      <c r="B264" s="172"/>
      <c r="D264" s="172"/>
      <c r="E264" s="173"/>
      <c r="F264" s="173"/>
      <c r="G264" s="173"/>
      <c r="H264" s="173"/>
    </row>
    <row r="265" spans="1:8" ht="15.75" customHeight="1" x14ac:dyDescent="0.25">
      <c r="A265" s="140"/>
      <c r="B265" s="172"/>
      <c r="D265" s="172"/>
      <c r="E265" s="173"/>
      <c r="F265" s="173"/>
      <c r="G265" s="173"/>
      <c r="H265" s="173"/>
    </row>
    <row r="266" spans="1:8" ht="15.75" customHeight="1" x14ac:dyDescent="0.25">
      <c r="A266" s="140"/>
      <c r="B266" s="172"/>
      <c r="D266" s="172"/>
      <c r="E266" s="173"/>
      <c r="F266" s="173"/>
      <c r="G266" s="173"/>
      <c r="H266" s="173"/>
    </row>
    <row r="267" spans="1:8" ht="15.75" customHeight="1" x14ac:dyDescent="0.25">
      <c r="A267" s="140"/>
      <c r="B267" s="172"/>
      <c r="D267" s="172"/>
      <c r="E267" s="173"/>
      <c r="F267" s="173"/>
      <c r="G267" s="173"/>
      <c r="H267" s="173"/>
    </row>
    <row r="268" spans="1:8" ht="15.75" customHeight="1" x14ac:dyDescent="0.25">
      <c r="A268" s="140"/>
      <c r="B268" s="172"/>
      <c r="D268" s="172"/>
      <c r="E268" s="173"/>
      <c r="F268" s="173"/>
      <c r="G268" s="173"/>
      <c r="H268" s="173"/>
    </row>
    <row r="269" spans="1:8" ht="15.75" customHeight="1" x14ac:dyDescent="0.25">
      <c r="A269" s="140"/>
      <c r="B269" s="172"/>
      <c r="D269" s="172"/>
      <c r="E269" s="173"/>
      <c r="F269" s="173"/>
      <c r="G269" s="173"/>
      <c r="H269" s="173"/>
    </row>
    <row r="270" spans="1:8" ht="15.75" customHeight="1" x14ac:dyDescent="0.25">
      <c r="A270" s="140"/>
      <c r="B270" s="172"/>
      <c r="D270" s="172"/>
      <c r="E270" s="173"/>
      <c r="F270" s="173"/>
      <c r="G270" s="173"/>
      <c r="H270" s="173"/>
    </row>
    <row r="271" spans="1:8" ht="15.75" customHeight="1" x14ac:dyDescent="0.25">
      <c r="A271" s="140"/>
      <c r="B271" s="172"/>
      <c r="D271" s="172"/>
      <c r="E271" s="173"/>
      <c r="F271" s="173"/>
      <c r="G271" s="173"/>
      <c r="H271" s="173"/>
    </row>
    <row r="272" spans="1:8" ht="15.75" customHeight="1" x14ac:dyDescent="0.25">
      <c r="A272" s="140"/>
      <c r="B272" s="172"/>
      <c r="D272" s="172"/>
      <c r="E272" s="173"/>
      <c r="F272" s="173"/>
      <c r="G272" s="173"/>
      <c r="H272" s="173"/>
    </row>
    <row r="273" spans="1:8" ht="15.75" customHeight="1" x14ac:dyDescent="0.25">
      <c r="A273" s="140"/>
      <c r="B273" s="172"/>
      <c r="D273" s="172"/>
      <c r="E273" s="173"/>
      <c r="F273" s="173"/>
      <c r="G273" s="173"/>
      <c r="H273" s="173"/>
    </row>
    <row r="274" spans="1:8" ht="15.75" customHeight="1" x14ac:dyDescent="0.25">
      <c r="A274" s="140"/>
      <c r="B274" s="172"/>
      <c r="D274" s="172"/>
      <c r="E274" s="173"/>
      <c r="F274" s="173"/>
      <c r="G274" s="173"/>
      <c r="H274" s="173"/>
    </row>
    <row r="275" spans="1:8" ht="15.75" customHeight="1" x14ac:dyDescent="0.25">
      <c r="A275" s="140"/>
      <c r="B275" s="172"/>
      <c r="D275" s="172"/>
      <c r="E275" s="173"/>
      <c r="F275" s="173"/>
      <c r="G275" s="173"/>
      <c r="H275" s="173"/>
    </row>
    <row r="276" spans="1:8" ht="15.75" customHeight="1" x14ac:dyDescent="0.25">
      <c r="A276" s="140"/>
      <c r="B276" s="172"/>
      <c r="D276" s="172"/>
      <c r="E276" s="173"/>
      <c r="F276" s="173"/>
      <c r="G276" s="173"/>
      <c r="H276" s="173"/>
    </row>
    <row r="277" spans="1:8" ht="15.75" customHeight="1" x14ac:dyDescent="0.25">
      <c r="A277" s="140"/>
      <c r="B277" s="172"/>
      <c r="D277" s="172"/>
      <c r="E277" s="173"/>
      <c r="F277" s="173"/>
      <c r="G277" s="173"/>
      <c r="H277" s="173"/>
    </row>
    <row r="278" spans="1:8" ht="15.75" customHeight="1" x14ac:dyDescent="0.25">
      <c r="A278" s="140"/>
      <c r="B278" s="172"/>
      <c r="D278" s="172"/>
      <c r="E278" s="173"/>
      <c r="F278" s="173"/>
      <c r="G278" s="173"/>
      <c r="H278" s="173"/>
    </row>
    <row r="279" spans="1:8" ht="15.75" customHeight="1" x14ac:dyDescent="0.25">
      <c r="A279" s="140"/>
      <c r="B279" s="172"/>
      <c r="D279" s="172"/>
      <c r="E279" s="173"/>
      <c r="F279" s="173"/>
      <c r="G279" s="173"/>
      <c r="H279" s="173"/>
    </row>
    <row r="280" spans="1:8" ht="15.75" customHeight="1" x14ac:dyDescent="0.25">
      <c r="A280" s="140"/>
      <c r="B280" s="172"/>
      <c r="D280" s="172"/>
      <c r="E280" s="173"/>
      <c r="F280" s="173"/>
      <c r="G280" s="173"/>
      <c r="H280" s="173"/>
    </row>
    <row r="281" spans="1:8" ht="15.75" customHeight="1" x14ac:dyDescent="0.25">
      <c r="A281" s="140"/>
      <c r="B281" s="172"/>
      <c r="D281" s="172"/>
      <c r="E281" s="173"/>
      <c r="F281" s="173"/>
      <c r="G281" s="173"/>
      <c r="H281" s="173"/>
    </row>
    <row r="282" spans="1:8" ht="15.75" customHeight="1" x14ac:dyDescent="0.25">
      <c r="A282" s="140"/>
      <c r="B282" s="172"/>
      <c r="D282" s="172"/>
      <c r="E282" s="173"/>
      <c r="F282" s="173"/>
      <c r="G282" s="173"/>
      <c r="H282" s="173"/>
    </row>
    <row r="283" spans="1:8" ht="15.75" customHeight="1" x14ac:dyDescent="0.25">
      <c r="A283" s="140"/>
      <c r="B283" s="172"/>
      <c r="D283" s="172"/>
      <c r="E283" s="173"/>
      <c r="F283" s="173"/>
      <c r="G283" s="173"/>
      <c r="H283" s="173"/>
    </row>
    <row r="284" spans="1:8" ht="15.75" customHeight="1" x14ac:dyDescent="0.25">
      <c r="A284" s="140"/>
      <c r="B284" s="172"/>
      <c r="D284" s="172"/>
      <c r="E284" s="173"/>
      <c r="F284" s="173"/>
      <c r="G284" s="173"/>
      <c r="H284" s="173"/>
    </row>
    <row r="285" spans="1:8" ht="15.75" customHeight="1" x14ac:dyDescent="0.25">
      <c r="A285" s="140"/>
      <c r="B285" s="172"/>
      <c r="D285" s="172"/>
      <c r="E285" s="173"/>
      <c r="F285" s="173"/>
      <c r="G285" s="173"/>
      <c r="H285" s="173"/>
    </row>
    <row r="286" spans="1:8" ht="15.75" customHeight="1" x14ac:dyDescent="0.25">
      <c r="A286" s="140"/>
      <c r="B286" s="172"/>
      <c r="D286" s="172"/>
      <c r="E286" s="173"/>
      <c r="F286" s="173"/>
      <c r="G286" s="173"/>
      <c r="H286" s="173"/>
    </row>
    <row r="287" spans="1:8" ht="15.75" customHeight="1" x14ac:dyDescent="0.25">
      <c r="A287" s="140"/>
      <c r="B287" s="172"/>
      <c r="D287" s="172"/>
      <c r="E287" s="173"/>
      <c r="F287" s="173"/>
      <c r="G287" s="173"/>
      <c r="H287" s="173"/>
    </row>
    <row r="288" spans="1:8" ht="15.75" customHeight="1" x14ac:dyDescent="0.25">
      <c r="A288" s="140"/>
      <c r="B288" s="172"/>
      <c r="D288" s="172"/>
      <c r="E288" s="173"/>
      <c r="F288" s="173"/>
      <c r="G288" s="173"/>
      <c r="H288" s="173"/>
    </row>
    <row r="289" spans="1:8" ht="15.75" customHeight="1" x14ac:dyDescent="0.25">
      <c r="A289" s="140"/>
      <c r="B289" s="172"/>
      <c r="D289" s="172"/>
      <c r="E289" s="173"/>
      <c r="F289" s="173"/>
      <c r="G289" s="173"/>
      <c r="H289" s="173"/>
    </row>
    <row r="290" spans="1:8" ht="15.75" customHeight="1" x14ac:dyDescent="0.25">
      <c r="A290" s="140"/>
      <c r="B290" s="172"/>
      <c r="D290" s="172"/>
      <c r="E290" s="173"/>
      <c r="F290" s="173"/>
      <c r="G290" s="173"/>
      <c r="H290" s="173"/>
    </row>
    <row r="291" spans="1:8" ht="15.75" customHeight="1" x14ac:dyDescent="0.25">
      <c r="A291" s="140"/>
      <c r="B291" s="172"/>
      <c r="D291" s="172"/>
      <c r="E291" s="173"/>
      <c r="F291" s="173"/>
      <c r="G291" s="173"/>
      <c r="H291" s="173"/>
    </row>
    <row r="292" spans="1:8" ht="15.75" customHeight="1" x14ac:dyDescent="0.25">
      <c r="A292" s="140"/>
      <c r="B292" s="172"/>
      <c r="D292" s="172"/>
      <c r="E292" s="173"/>
      <c r="F292" s="173"/>
      <c r="G292" s="173"/>
      <c r="H292" s="173"/>
    </row>
    <row r="293" spans="1:8" ht="15.75" customHeight="1" x14ac:dyDescent="0.25">
      <c r="A293" s="140"/>
      <c r="B293" s="172"/>
      <c r="D293" s="172"/>
      <c r="E293" s="173"/>
      <c r="F293" s="173"/>
      <c r="G293" s="173"/>
      <c r="H293" s="173"/>
    </row>
    <row r="294" spans="1:8" ht="15.75" customHeight="1" x14ac:dyDescent="0.25">
      <c r="A294" s="140"/>
      <c r="B294" s="172"/>
      <c r="D294" s="172"/>
      <c r="E294" s="173"/>
      <c r="F294" s="173"/>
      <c r="G294" s="173"/>
      <c r="H294" s="173"/>
    </row>
    <row r="295" spans="1:8" ht="15.75" customHeight="1" x14ac:dyDescent="0.25">
      <c r="A295" s="140"/>
      <c r="B295" s="172"/>
      <c r="D295" s="172"/>
      <c r="E295" s="173"/>
      <c r="F295" s="173"/>
      <c r="G295" s="173"/>
      <c r="H295" s="173"/>
    </row>
    <row r="296" spans="1:8" ht="15.75" customHeight="1" x14ac:dyDescent="0.25">
      <c r="A296" s="140"/>
      <c r="B296" s="172"/>
      <c r="D296" s="172"/>
      <c r="E296" s="173"/>
      <c r="F296" s="173"/>
      <c r="G296" s="173"/>
      <c r="H296" s="173"/>
    </row>
    <row r="297" spans="1:8" ht="15.75" customHeight="1" x14ac:dyDescent="0.25">
      <c r="A297" s="140"/>
      <c r="B297" s="172"/>
      <c r="D297" s="172"/>
      <c r="E297" s="173"/>
      <c r="F297" s="173"/>
      <c r="G297" s="173"/>
      <c r="H297" s="173"/>
    </row>
    <row r="298" spans="1:8" ht="15.75" customHeight="1" x14ac:dyDescent="0.25">
      <c r="A298" s="140"/>
      <c r="B298" s="172"/>
      <c r="D298" s="172"/>
      <c r="E298" s="173"/>
      <c r="F298" s="173"/>
      <c r="G298" s="173"/>
      <c r="H298" s="173"/>
    </row>
    <row r="299" spans="1:8" ht="15.75" customHeight="1" x14ac:dyDescent="0.25">
      <c r="A299" s="140"/>
      <c r="B299" s="172"/>
      <c r="D299" s="172"/>
      <c r="E299" s="173"/>
      <c r="F299" s="173"/>
      <c r="G299" s="173"/>
      <c r="H299" s="173"/>
    </row>
    <row r="300" spans="1:8" ht="15.75" customHeight="1" x14ac:dyDescent="0.25">
      <c r="A300" s="140"/>
      <c r="B300" s="172"/>
      <c r="D300" s="172"/>
      <c r="E300" s="173"/>
      <c r="F300" s="173"/>
      <c r="G300" s="173"/>
      <c r="H300" s="173"/>
    </row>
    <row r="301" spans="1:8" ht="15.75" customHeight="1" x14ac:dyDescent="0.25">
      <c r="A301" s="140"/>
      <c r="B301" s="172"/>
      <c r="D301" s="172"/>
      <c r="E301" s="173"/>
      <c r="F301" s="173"/>
      <c r="G301" s="173"/>
      <c r="H301" s="173"/>
    </row>
    <row r="302" spans="1:8" ht="15.75" customHeight="1" x14ac:dyDescent="0.25">
      <c r="A302" s="140"/>
      <c r="B302" s="172"/>
      <c r="D302" s="172"/>
      <c r="E302" s="173"/>
      <c r="F302" s="173"/>
      <c r="G302" s="173"/>
      <c r="H302" s="173"/>
    </row>
    <row r="303" spans="1:8" ht="15.75" customHeight="1" x14ac:dyDescent="0.25">
      <c r="A303" s="140"/>
      <c r="B303" s="172"/>
      <c r="D303" s="172"/>
      <c r="E303" s="173"/>
      <c r="F303" s="173"/>
      <c r="G303" s="173"/>
      <c r="H303" s="173"/>
    </row>
    <row r="304" spans="1:8" ht="15.75" customHeight="1" x14ac:dyDescent="0.25">
      <c r="A304" s="140"/>
      <c r="B304" s="172"/>
      <c r="D304" s="172"/>
      <c r="E304" s="173"/>
      <c r="F304" s="173"/>
      <c r="G304" s="173"/>
      <c r="H304" s="173"/>
    </row>
    <row r="305" spans="1:8" ht="15.75" customHeight="1" x14ac:dyDescent="0.25">
      <c r="A305" s="140"/>
      <c r="B305" s="172"/>
      <c r="D305" s="172"/>
      <c r="E305" s="173"/>
      <c r="F305" s="173"/>
      <c r="G305" s="173"/>
      <c r="H305" s="173"/>
    </row>
    <row r="306" spans="1:8" ht="15.75" customHeight="1" x14ac:dyDescent="0.25">
      <c r="A306" s="140"/>
      <c r="B306" s="172"/>
      <c r="D306" s="172"/>
      <c r="E306" s="173"/>
      <c r="F306" s="173"/>
      <c r="G306" s="173"/>
      <c r="H306" s="173"/>
    </row>
    <row r="307" spans="1:8" ht="15.75" customHeight="1" x14ac:dyDescent="0.25">
      <c r="A307" s="140"/>
      <c r="B307" s="172"/>
      <c r="D307" s="172"/>
      <c r="E307" s="173"/>
      <c r="F307" s="173"/>
      <c r="G307" s="173"/>
      <c r="H307" s="173"/>
    </row>
    <row r="308" spans="1:8" ht="15.75" customHeight="1" x14ac:dyDescent="0.25">
      <c r="A308" s="140"/>
      <c r="B308" s="172"/>
      <c r="D308" s="172"/>
      <c r="E308" s="173"/>
      <c r="F308" s="173"/>
      <c r="G308" s="173"/>
      <c r="H308" s="173"/>
    </row>
    <row r="309" spans="1:8" ht="15.75" customHeight="1" x14ac:dyDescent="0.25">
      <c r="A309" s="140"/>
      <c r="B309" s="172"/>
      <c r="D309" s="172"/>
      <c r="E309" s="173"/>
      <c r="F309" s="173"/>
      <c r="G309" s="173"/>
      <c r="H309" s="173"/>
    </row>
    <row r="310" spans="1:8" ht="15.75" customHeight="1" x14ac:dyDescent="0.25">
      <c r="A310" s="140"/>
      <c r="B310" s="172"/>
      <c r="D310" s="172"/>
      <c r="E310" s="173"/>
      <c r="F310" s="173"/>
      <c r="G310" s="173"/>
      <c r="H310" s="173"/>
    </row>
    <row r="311" spans="1:8" ht="15.75" customHeight="1" x14ac:dyDescent="0.25">
      <c r="A311" s="140"/>
      <c r="B311" s="172"/>
      <c r="D311" s="172"/>
      <c r="E311" s="173"/>
      <c r="F311" s="173"/>
      <c r="G311" s="173"/>
      <c r="H311" s="173"/>
    </row>
    <row r="312" spans="1:8" ht="15.75" customHeight="1" x14ac:dyDescent="0.25">
      <c r="A312" s="140"/>
      <c r="B312" s="172"/>
      <c r="D312" s="172"/>
      <c r="E312" s="173"/>
      <c r="F312" s="173"/>
      <c r="G312" s="173"/>
      <c r="H312" s="173"/>
    </row>
    <row r="313" spans="1:8" ht="15.75" customHeight="1" x14ac:dyDescent="0.25">
      <c r="A313" s="140"/>
      <c r="B313" s="172"/>
      <c r="D313" s="172"/>
      <c r="E313" s="173"/>
      <c r="F313" s="173"/>
      <c r="G313" s="173"/>
      <c r="H313" s="173"/>
    </row>
    <row r="314" spans="1:8" ht="15.75" customHeight="1" x14ac:dyDescent="0.25">
      <c r="A314" s="140"/>
      <c r="B314" s="172"/>
      <c r="D314" s="172"/>
      <c r="E314" s="173"/>
      <c r="F314" s="173"/>
      <c r="G314" s="173"/>
      <c r="H314" s="173"/>
    </row>
    <row r="315" spans="1:8" ht="15.75" customHeight="1" x14ac:dyDescent="0.25">
      <c r="A315" s="140"/>
      <c r="B315" s="172"/>
      <c r="D315" s="172"/>
      <c r="E315" s="173"/>
      <c r="F315" s="173"/>
      <c r="G315" s="173"/>
      <c r="H315" s="173"/>
    </row>
    <row r="316" spans="1:8" ht="15.75" customHeight="1" x14ac:dyDescent="0.25">
      <c r="A316" s="140"/>
      <c r="B316" s="172"/>
      <c r="D316" s="172"/>
      <c r="E316" s="173"/>
      <c r="F316" s="173"/>
      <c r="G316" s="173"/>
      <c r="H316" s="173"/>
    </row>
    <row r="317" spans="1:8" ht="15.75" customHeight="1" x14ac:dyDescent="0.25">
      <c r="A317" s="140"/>
      <c r="B317" s="172"/>
      <c r="D317" s="172"/>
      <c r="E317" s="173"/>
      <c r="F317" s="173"/>
      <c r="G317" s="173"/>
      <c r="H317" s="173"/>
    </row>
    <row r="318" spans="1:8" ht="15.75" customHeight="1" x14ac:dyDescent="0.25">
      <c r="A318" s="140"/>
      <c r="B318" s="172"/>
      <c r="D318" s="172"/>
      <c r="E318" s="173"/>
      <c r="F318" s="173"/>
      <c r="G318" s="173"/>
      <c r="H318" s="173"/>
    </row>
    <row r="319" spans="1:8" ht="15.75" customHeight="1" x14ac:dyDescent="0.25">
      <c r="A319" s="140"/>
      <c r="B319" s="172"/>
      <c r="D319" s="172"/>
      <c r="E319" s="173"/>
      <c r="F319" s="173"/>
      <c r="G319" s="173"/>
      <c r="H319" s="173"/>
    </row>
    <row r="320" spans="1:8" ht="15.75" customHeight="1" x14ac:dyDescent="0.25">
      <c r="A320" s="140"/>
      <c r="B320" s="172"/>
      <c r="D320" s="172"/>
      <c r="E320" s="173"/>
      <c r="F320" s="173"/>
      <c r="G320" s="173"/>
      <c r="H320" s="173"/>
    </row>
    <row r="321" spans="1:8" ht="15.75" customHeight="1" x14ac:dyDescent="0.25">
      <c r="A321" s="140"/>
      <c r="B321" s="172"/>
      <c r="D321" s="172"/>
      <c r="E321" s="173"/>
      <c r="F321" s="173"/>
      <c r="G321" s="173"/>
      <c r="H321" s="173"/>
    </row>
    <row r="322" spans="1:8" ht="15.75" customHeight="1" x14ac:dyDescent="0.25"/>
    <row r="323" spans="1:8" ht="15.75" customHeight="1" x14ac:dyDescent="0.25"/>
    <row r="324" spans="1:8" ht="15.75" customHeight="1" x14ac:dyDescent="0.25"/>
    <row r="325" spans="1:8" ht="15.75" customHeight="1" x14ac:dyDescent="0.25"/>
    <row r="326" spans="1:8" ht="15.75" customHeight="1" x14ac:dyDescent="0.25"/>
    <row r="327" spans="1:8" ht="15.75" customHeight="1" x14ac:dyDescent="0.25"/>
    <row r="328" spans="1:8" ht="15.75" customHeight="1" x14ac:dyDescent="0.25"/>
    <row r="329" spans="1:8" ht="15.75" customHeight="1" x14ac:dyDescent="0.25"/>
    <row r="330" spans="1:8" ht="15.75" customHeight="1" x14ac:dyDescent="0.25"/>
    <row r="331" spans="1:8" ht="15.75" customHeight="1" x14ac:dyDescent="0.25"/>
    <row r="332" spans="1:8" ht="15.75" customHeight="1" x14ac:dyDescent="0.25"/>
    <row r="333" spans="1:8" ht="15.75" customHeight="1" x14ac:dyDescent="0.25"/>
    <row r="334" spans="1:8" ht="15.75" customHeight="1" x14ac:dyDescent="0.25"/>
    <row r="335" spans="1:8" ht="15.75" customHeight="1" x14ac:dyDescent="0.25"/>
    <row r="336" spans="1: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Q74">
    <cfRule type="cellIs" dxfId="1" priority="1" operator="lessThan">
      <formula>-200</formula>
    </cfRule>
  </conditionalFormatting>
  <conditionalFormatting sqref="S114:S115">
    <cfRule type="cellIs" dxfId="0" priority="2" operator="lessThan">
      <formula>-200</formula>
    </cfRule>
  </conditionalFormatting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 Geral</vt:lpstr>
      <vt:lpstr>Morto</vt:lpstr>
      <vt:lpstr>'Planilha Geral'!_Hlk63410235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RONALDO</cp:lastModifiedBy>
  <cp:lastPrinted>2026-03-17T12:48:53Z</cp:lastPrinted>
  <dcterms:created xsi:type="dcterms:W3CDTF">2021-09-08T16:10:00Z</dcterms:created>
  <dcterms:modified xsi:type="dcterms:W3CDTF">2026-03-27T12:32:21Z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C780167E89174D41ADD13F396B0F7F4B_12</vt:lpwstr>
  </property>
  <property fmtid="{D5CDD505-2E9C-101B-9397-08002B2CF9AE}" pid="3" name="KSOProductBuildVer">
    <vt:lpwstr>1046-12.2.0.19805</vt:lpwstr>
  </property>
</Properties>
</file>